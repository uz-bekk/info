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" sheetId="1" state="visible" r:id="rId1"/>
    <sheet xmlns:r="http://schemas.openxmlformats.org/officeDocument/2006/relationships" name="Xonalar" sheetId="2" state="visible" r:id="rId2"/>
    <sheet xmlns:r="http://schemas.openxmlformats.org/officeDocument/2006/relationships" name="Joylashuv" sheetId="3" state="visible" r:id="rId3"/>
    <sheet xmlns:r="http://schemas.openxmlformats.org/officeDocument/2006/relationships" name="Tamirlash" sheetId="4" state="visible" r:id="rId4"/>
    <sheet xmlns:r="http://schemas.openxmlformats.org/officeDocument/2006/relationships" name="5_yil_eski" sheetId="5" state="visible" r:id="rId5"/>
    <sheet xmlns:r="http://schemas.openxmlformats.org/officeDocument/2006/relationships" name="Hisobot_Qavatlar" sheetId="6" state="visible" r:id="rId6"/>
    <sheet xmlns:r="http://schemas.openxmlformats.org/officeDocument/2006/relationships" name="SQL_Sorovla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595959"/>
      <sz val="9"/>
    </font>
    <font>
      <name val="Arial"/>
      <b val="1"/>
      <color rgb="00C00000"/>
      <sz val="10"/>
    </font>
    <font>
      <name val="Courier New"/>
      <sz val="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FFCCCC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3" fontId="3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3" fontId="3" fillId="5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left" vertical="center"/>
    </xf>
    <xf numFmtId="0" fontId="1" fillId="8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/>
    </xf>
    <xf numFmtId="0" fontId="2" fillId="8" borderId="1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/>
    </xf>
    <xf numFmtId="3" fontId="3" fillId="7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center"/>
    </xf>
    <xf numFmtId="0" fontId="3" fillId="9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left" vertical="center"/>
    </xf>
    <xf numFmtId="3" fontId="3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center"/>
    </xf>
    <xf numFmtId="3" fontId="4" fillId="4" borderId="2" applyAlignment="1" pivotButton="0" quotePrefix="0" xfId="0">
      <alignment horizontal="left" vertical="center"/>
    </xf>
    <xf numFmtId="3" fontId="4" fillId="3" borderId="2" applyAlignment="1" pivotButton="0" quotePrefix="0" xfId="0">
      <alignment horizontal="left" vertical="center"/>
    </xf>
    <xf numFmtId="3" fontId="4" fillId="6" borderId="2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3" fontId="4" fillId="11" borderId="1" applyAlignment="1" pivotButton="0" quotePrefix="0" xfId="0">
      <alignment horizontal="center" vertical="center"/>
    </xf>
    <xf numFmtId="0" fontId="2" fillId="10" borderId="0" applyAlignment="1" pivotButton="0" quotePrefix="0" xfId="0">
      <alignment vertical="center"/>
    </xf>
    <xf numFmtId="0" fontId="7" fillId="12" borderId="2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8" customWidth="1" min="4" max="4"/>
    <col width="16" customWidth="1" min="5" max="5"/>
    <col width="12" customWidth="1" min="6" max="6"/>
  </cols>
  <sheetData>
    <row r="1" ht="30" customHeight="1">
      <c r="A1" s="1" t="inlineStr">
        <is>
          <t>MAKTAB JIHOZLARI — INVENTAR JADVALI</t>
        </is>
      </c>
    </row>
    <row r="2" ht="25" customHeight="1">
      <c r="A2" s="2" t="inlineStr">
        <is>
          <t>ID</t>
        </is>
      </c>
      <c r="B2" s="2" t="inlineStr">
        <is>
          <t>Nomi</t>
        </is>
      </c>
      <c r="C2" s="2" t="inlineStr">
        <is>
          <t>Turi</t>
        </is>
      </c>
      <c r="D2" s="2" t="inlineStr">
        <is>
          <t>Sotib olingan sana</t>
        </is>
      </c>
      <c r="E2" s="2" t="inlineStr">
        <is>
          <t>Narxi (so'm)</t>
        </is>
      </c>
      <c r="F2" s="2" t="inlineStr">
        <is>
          <t>Holati</t>
        </is>
      </c>
    </row>
    <row r="3">
      <c r="A3" s="3" t="n">
        <v>1</v>
      </c>
      <c r="B3" s="4" t="inlineStr">
        <is>
          <t>Stol</t>
        </is>
      </c>
      <c r="C3" s="4" t="inlineStr">
        <is>
          <t>Mebel</t>
        </is>
      </c>
      <c r="D3" s="4" t="inlineStr">
        <is>
          <t>2018-03-15</t>
        </is>
      </c>
      <c r="E3" s="5" t="n">
        <v>450000</v>
      </c>
      <c r="F3" s="6" t="inlineStr">
        <is>
          <t>Yaxshi</t>
        </is>
      </c>
    </row>
    <row r="4">
      <c r="A4" s="7" t="n">
        <v>2</v>
      </c>
      <c r="B4" s="8" t="inlineStr">
        <is>
          <t>Stul</t>
        </is>
      </c>
      <c r="C4" s="8" t="inlineStr">
        <is>
          <t>Mebel</t>
        </is>
      </c>
      <c r="D4" s="8" t="inlineStr">
        <is>
          <t>2017-09-01</t>
        </is>
      </c>
      <c r="E4" s="9" t="n">
        <v>150000</v>
      </c>
      <c r="F4" s="10" t="inlineStr">
        <is>
          <t>O'rta</t>
        </is>
      </c>
    </row>
    <row r="5">
      <c r="A5" s="3" t="n">
        <v>3</v>
      </c>
      <c r="B5" s="4" t="inlineStr">
        <is>
          <t>Proyektor</t>
        </is>
      </c>
      <c r="C5" s="4" t="inlineStr">
        <is>
          <t>Texnika</t>
        </is>
      </c>
      <c r="D5" s="4" t="inlineStr">
        <is>
          <t>2019-01-20</t>
        </is>
      </c>
      <c r="E5" s="5" t="n">
        <v>3200000</v>
      </c>
      <c r="F5" s="6" t="inlineStr">
        <is>
          <t>Yaxshi</t>
        </is>
      </c>
    </row>
    <row r="6">
      <c r="A6" s="7" t="n">
        <v>4</v>
      </c>
      <c r="B6" s="8" t="inlineStr">
        <is>
          <t>Daska</t>
        </is>
      </c>
      <c r="C6" s="8" t="inlineStr">
        <is>
          <t>O'quv</t>
        </is>
      </c>
      <c r="D6" s="8" t="inlineStr">
        <is>
          <t>2016-08-05</t>
        </is>
      </c>
      <c r="E6" s="9" t="n">
        <v>600000</v>
      </c>
      <c r="F6" s="11" t="inlineStr">
        <is>
          <t>Yomon</t>
        </is>
      </c>
    </row>
    <row r="7">
      <c r="A7" s="3" t="n">
        <v>5</v>
      </c>
      <c r="B7" s="4" t="inlineStr">
        <is>
          <t>Kompyuter</t>
        </is>
      </c>
      <c r="C7" s="4" t="inlineStr">
        <is>
          <t>Texnika</t>
        </is>
      </c>
      <c r="D7" s="4" t="inlineStr">
        <is>
          <t>2020-04-10</t>
        </is>
      </c>
      <c r="E7" s="5" t="n">
        <v>8500000</v>
      </c>
      <c r="F7" s="6" t="inlineStr">
        <is>
          <t>Yaxshi</t>
        </is>
      </c>
    </row>
    <row r="8">
      <c r="A8" s="7" t="n">
        <v>6</v>
      </c>
      <c r="B8" s="8" t="inlineStr">
        <is>
          <t>Shkaf</t>
        </is>
      </c>
      <c r="C8" s="8" t="inlineStr">
        <is>
          <t>Mebel</t>
        </is>
      </c>
      <c r="D8" s="8" t="inlineStr">
        <is>
          <t>2015-11-22</t>
        </is>
      </c>
      <c r="E8" s="9" t="n">
        <v>700000</v>
      </c>
      <c r="F8" s="12" t="inlineStr">
        <is>
          <t>Ta'mirda</t>
        </is>
      </c>
    </row>
    <row r="9">
      <c r="A9" s="3" t="n">
        <v>7</v>
      </c>
      <c r="B9" s="4" t="inlineStr">
        <is>
          <t>Printer</t>
        </is>
      </c>
      <c r="C9" s="4" t="inlineStr">
        <is>
          <t>Texnika</t>
        </is>
      </c>
      <c r="D9" s="4" t="inlineStr">
        <is>
          <t>2018-06-30</t>
        </is>
      </c>
      <c r="E9" s="5" t="n">
        <v>1800000</v>
      </c>
      <c r="F9" s="10" t="inlineStr">
        <is>
          <t>O'rta</t>
        </is>
      </c>
    </row>
    <row r="10">
      <c r="A10" s="7" t="n">
        <v>8</v>
      </c>
      <c r="B10" s="8" t="inlineStr">
        <is>
          <t>Televizor</t>
        </is>
      </c>
      <c r="C10" s="8" t="inlineStr">
        <is>
          <t>Texnika</t>
        </is>
      </c>
      <c r="D10" s="8" t="inlineStr">
        <is>
          <t>2021-02-14</t>
        </is>
      </c>
      <c r="E10" s="9" t="n">
        <v>4500000</v>
      </c>
      <c r="F10" s="6" t="inlineStr">
        <is>
          <t>Yaxshi</t>
        </is>
      </c>
    </row>
    <row r="11">
      <c r="A11" s="3" t="n">
        <v>9</v>
      </c>
      <c r="B11" s="4" t="inlineStr">
        <is>
          <t>Doska markeri</t>
        </is>
      </c>
      <c r="C11" s="4" t="inlineStr">
        <is>
          <t>O'quv</t>
        </is>
      </c>
      <c r="D11" s="4" t="inlineStr">
        <is>
          <t>2023-05-10</t>
        </is>
      </c>
      <c r="E11" s="5" t="n">
        <v>25000</v>
      </c>
      <c r="F11" s="6" t="inlineStr">
        <is>
          <t>Yaxshi</t>
        </is>
      </c>
    </row>
    <row r="12">
      <c r="A12" s="7" t="n">
        <v>10</v>
      </c>
      <c r="B12" s="8" t="inlineStr">
        <is>
          <t>Kitob javoni</t>
        </is>
      </c>
      <c r="C12" s="8" t="inlineStr">
        <is>
          <t>Mebel</t>
        </is>
      </c>
      <c r="D12" s="8" t="inlineStr">
        <is>
          <t>2014-07-18</t>
        </is>
      </c>
      <c r="E12" s="9" t="n">
        <v>350000</v>
      </c>
      <c r="F12" s="11" t="inlineStr">
        <is>
          <t>Yomon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22" customWidth="1" min="4" max="4"/>
  </cols>
  <sheetData>
    <row r="1" ht="30" customHeight="1">
      <c r="A1" s="1" t="inlineStr">
        <is>
          <t>MAKTAB XONALARI JADVALI</t>
        </is>
      </c>
    </row>
    <row r="2">
      <c r="A2" s="2" t="inlineStr">
        <is>
          <t>ID</t>
        </is>
      </c>
      <c r="B2" s="2" t="inlineStr">
        <is>
          <t>Xona raqami</t>
        </is>
      </c>
      <c r="C2" s="2" t="inlineStr">
        <is>
          <t>Qavat</t>
        </is>
      </c>
      <c r="D2" s="2" t="inlineStr">
        <is>
          <t>Mas'ul shaxs</t>
        </is>
      </c>
    </row>
    <row r="3">
      <c r="A3" s="13" t="n">
        <v>1</v>
      </c>
      <c r="B3" s="13" t="inlineStr">
        <is>
          <t>101</t>
        </is>
      </c>
      <c r="C3" s="13" t="n">
        <v>1</v>
      </c>
      <c r="D3" s="14" t="inlineStr">
        <is>
          <t>Aliyev Botir</t>
        </is>
      </c>
    </row>
    <row r="4">
      <c r="A4" s="13" t="n">
        <v>2</v>
      </c>
      <c r="B4" s="13" t="inlineStr">
        <is>
          <t>102</t>
        </is>
      </c>
      <c r="C4" s="13" t="n">
        <v>1</v>
      </c>
      <c r="D4" s="14" t="inlineStr">
        <is>
          <t>Karimova Nozima</t>
        </is>
      </c>
    </row>
    <row r="5">
      <c r="A5" s="13" t="n">
        <v>3</v>
      </c>
      <c r="B5" s="13" t="inlineStr">
        <is>
          <t>103</t>
        </is>
      </c>
      <c r="C5" s="13" t="n">
        <v>1</v>
      </c>
      <c r="D5" s="14" t="inlineStr">
        <is>
          <t>Toshmatov Ulugbek</t>
        </is>
      </c>
    </row>
    <row r="6">
      <c r="A6" s="3" t="n">
        <v>4</v>
      </c>
      <c r="B6" s="3" t="inlineStr">
        <is>
          <t>201</t>
        </is>
      </c>
      <c r="C6" s="3" t="n">
        <v>2</v>
      </c>
      <c r="D6" s="4" t="inlineStr">
        <is>
          <t>Rahimov Jasur</t>
        </is>
      </c>
    </row>
    <row r="7">
      <c r="A7" s="3" t="n">
        <v>5</v>
      </c>
      <c r="B7" s="3" t="inlineStr">
        <is>
          <t>202</t>
        </is>
      </c>
      <c r="C7" s="3" t="n">
        <v>2</v>
      </c>
      <c r="D7" s="4" t="inlineStr">
        <is>
          <t>Umarova Dilnoza</t>
        </is>
      </c>
    </row>
    <row r="8">
      <c r="A8" s="3" t="n">
        <v>6</v>
      </c>
      <c r="B8" s="3" t="inlineStr">
        <is>
          <t>203</t>
        </is>
      </c>
      <c r="C8" s="3" t="n">
        <v>2</v>
      </c>
      <c r="D8" s="4" t="inlineStr">
        <is>
          <t>Yusupov Mansur</t>
        </is>
      </c>
    </row>
    <row r="9">
      <c r="A9" s="15" t="n">
        <v>7</v>
      </c>
      <c r="B9" s="15" t="inlineStr">
        <is>
          <t>301</t>
        </is>
      </c>
      <c r="C9" s="15" t="n">
        <v>3</v>
      </c>
      <c r="D9" s="16" t="inlineStr">
        <is>
          <t>Xasanov Sherzod</t>
        </is>
      </c>
    </row>
    <row r="10">
      <c r="A10" s="15" t="n">
        <v>8</v>
      </c>
      <c r="B10" s="15" t="inlineStr">
        <is>
          <t>302</t>
        </is>
      </c>
      <c r="C10" s="15" t="n">
        <v>3</v>
      </c>
      <c r="D10" s="16" t="inlineStr">
        <is>
          <t>Nazarova Malika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20" customWidth="1" min="4" max="4"/>
  </cols>
  <sheetData>
    <row r="1" ht="30" customHeight="1">
      <c r="A1" s="1" t="inlineStr">
        <is>
          <t>INVENTAR JOYLASHUVI JADVALI</t>
        </is>
      </c>
    </row>
    <row r="2">
      <c r="A2" s="2" t="inlineStr">
        <is>
          <t>ID</t>
        </is>
      </c>
      <c r="B2" s="2" t="inlineStr">
        <is>
          <t>Inventar ID</t>
        </is>
      </c>
      <c r="C2" s="2" t="inlineStr">
        <is>
          <t>Xona ID</t>
        </is>
      </c>
      <c r="D2" s="2" t="inlineStr">
        <is>
          <t>Ko'chirilgan sana</t>
        </is>
      </c>
    </row>
    <row r="3">
      <c r="A3" s="3" t="n">
        <v>1</v>
      </c>
      <c r="B3" s="3" t="n">
        <v>1</v>
      </c>
      <c r="C3" s="3" t="n">
        <v>1</v>
      </c>
      <c r="D3" s="4" t="inlineStr">
        <is>
          <t>2018-03-20</t>
        </is>
      </c>
    </row>
    <row r="4">
      <c r="A4" s="7" t="n">
        <v>2</v>
      </c>
      <c r="B4" s="7" t="n">
        <v>2</v>
      </c>
      <c r="C4" s="7" t="n">
        <v>1</v>
      </c>
      <c r="D4" s="8" t="inlineStr">
        <is>
          <t>2017-09-05</t>
        </is>
      </c>
    </row>
    <row r="5">
      <c r="A5" s="3" t="n">
        <v>3</v>
      </c>
      <c r="B5" s="3" t="n">
        <v>3</v>
      </c>
      <c r="C5" s="3" t="n">
        <v>4</v>
      </c>
      <c r="D5" s="4" t="inlineStr">
        <is>
          <t>2019-02-01</t>
        </is>
      </c>
    </row>
    <row r="6">
      <c r="A6" s="7" t="n">
        <v>4</v>
      </c>
      <c r="B6" s="7" t="n">
        <v>4</v>
      </c>
      <c r="C6" s="7" t="n">
        <v>2</v>
      </c>
      <c r="D6" s="8" t="inlineStr">
        <is>
          <t>2016-08-10</t>
        </is>
      </c>
    </row>
    <row r="7">
      <c r="A7" s="3" t="n">
        <v>5</v>
      </c>
      <c r="B7" s="3" t="n">
        <v>5</v>
      </c>
      <c r="C7" s="3" t="n">
        <v>7</v>
      </c>
      <c r="D7" s="4" t="inlineStr">
        <is>
          <t>2020-04-15</t>
        </is>
      </c>
    </row>
    <row r="8">
      <c r="A8" s="7" t="n">
        <v>6</v>
      </c>
      <c r="B8" s="7" t="n">
        <v>6</v>
      </c>
      <c r="C8" s="7" t="n">
        <v>3</v>
      </c>
      <c r="D8" s="8" t="inlineStr">
        <is>
          <t>2015-12-01</t>
        </is>
      </c>
    </row>
    <row r="9">
      <c r="A9" s="3" t="n">
        <v>7</v>
      </c>
      <c r="B9" s="3" t="n">
        <v>7</v>
      </c>
      <c r="C9" s="3" t="n">
        <v>5</v>
      </c>
      <c r="D9" s="4" t="inlineStr">
        <is>
          <t>2018-07-01</t>
        </is>
      </c>
    </row>
    <row r="10">
      <c r="A10" s="7" t="n">
        <v>8</v>
      </c>
      <c r="B10" s="7" t="n">
        <v>8</v>
      </c>
      <c r="C10" s="7" t="n">
        <v>8</v>
      </c>
      <c r="D10" s="8" t="inlineStr">
        <is>
          <t>2021-02-20</t>
        </is>
      </c>
    </row>
    <row r="11">
      <c r="A11" s="3" t="n">
        <v>9</v>
      </c>
      <c r="B11" s="3" t="n">
        <v>9</v>
      </c>
      <c r="C11" s="3" t="n">
        <v>6</v>
      </c>
      <c r="D11" s="4" t="inlineStr">
        <is>
          <t>2023-05-12</t>
        </is>
      </c>
    </row>
    <row r="12">
      <c r="A12" s="7" t="n">
        <v>10</v>
      </c>
      <c r="B12" s="7" t="n">
        <v>10</v>
      </c>
      <c r="C12" s="7" t="n">
        <v>2</v>
      </c>
      <c r="D12" s="8" t="inlineStr">
        <is>
          <t>2014-07-20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8" customWidth="1" min="4" max="4"/>
  </cols>
  <sheetData>
    <row r="1" ht="30" customHeight="1">
      <c r="A1" s="1" t="inlineStr">
        <is>
          <t>TA'MIRLASH JADVALI</t>
        </is>
      </c>
    </row>
    <row r="2">
      <c r="A2" s="2" t="inlineStr">
        <is>
          <t>ID</t>
        </is>
      </c>
      <c r="B2" s="2" t="inlineStr">
        <is>
          <t>Inventar ID</t>
        </is>
      </c>
      <c r="C2" s="2" t="inlineStr">
        <is>
          <t>Ta'mirlash sanasi</t>
        </is>
      </c>
      <c r="D2" s="2" t="inlineStr">
        <is>
          <t>Xarajat (so'm)</t>
        </is>
      </c>
    </row>
    <row r="3">
      <c r="A3" s="3" t="n">
        <v>1</v>
      </c>
      <c r="B3" s="3" t="n">
        <v>4</v>
      </c>
      <c r="C3" s="4" t="inlineStr">
        <is>
          <t>2020-03-10</t>
        </is>
      </c>
      <c r="D3" s="5" t="n">
        <v>85000</v>
      </c>
    </row>
    <row r="4">
      <c r="A4" s="7" t="n">
        <v>2</v>
      </c>
      <c r="B4" s="7" t="n">
        <v>6</v>
      </c>
      <c r="C4" s="8" t="inlineStr">
        <is>
          <t>2021-05-15</t>
        </is>
      </c>
      <c r="D4" s="9" t="n">
        <v>120000</v>
      </c>
    </row>
    <row r="5">
      <c r="A5" s="3" t="n">
        <v>3</v>
      </c>
      <c r="B5" s="3" t="n">
        <v>2</v>
      </c>
      <c r="C5" s="4" t="inlineStr">
        <is>
          <t>2022-01-20</t>
        </is>
      </c>
      <c r="D5" s="5" t="n">
        <v>45000</v>
      </c>
    </row>
    <row r="6">
      <c r="A6" s="7" t="n">
        <v>4</v>
      </c>
      <c r="B6" s="7" t="n">
        <v>4</v>
      </c>
      <c r="C6" s="8" t="inlineStr">
        <is>
          <t>2022-09-08</t>
        </is>
      </c>
      <c r="D6" s="9" t="n">
        <v>95000</v>
      </c>
    </row>
    <row r="7">
      <c r="A7" s="3" t="n">
        <v>5</v>
      </c>
      <c r="B7" s="3" t="n">
        <v>6</v>
      </c>
      <c r="C7" s="4" t="inlineStr">
        <is>
          <t>2023-02-14</t>
        </is>
      </c>
      <c r="D7" s="5" t="n">
        <v>200000</v>
      </c>
    </row>
    <row r="8">
      <c r="A8" s="7" t="n">
        <v>6</v>
      </c>
      <c r="B8" s="7" t="n">
        <v>7</v>
      </c>
      <c r="C8" s="8" t="inlineStr">
        <is>
          <t>2023-06-30</t>
        </is>
      </c>
      <c r="D8" s="9" t="n">
        <v>75000</v>
      </c>
    </row>
    <row r="9">
      <c r="A9" s="3" t="n">
        <v>7</v>
      </c>
      <c r="B9" s="3" t="n">
        <v>10</v>
      </c>
      <c r="C9" s="4" t="inlineStr">
        <is>
          <t>2024-01-10</t>
        </is>
      </c>
      <c r="D9" s="5" t="n">
        <v>110000</v>
      </c>
    </row>
    <row r="10">
      <c r="A10" s="7" t="n">
        <v>8</v>
      </c>
      <c r="B10" s="7" t="n">
        <v>2</v>
      </c>
      <c r="C10" s="8" t="inlineStr">
        <is>
          <t>2024-04-22</t>
        </is>
      </c>
      <c r="D10" s="9" t="n">
        <v>55000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6" customWidth="1" min="4" max="4"/>
    <col width="16" customWidth="1" min="5" max="5"/>
    <col width="12" customWidth="1" min="6" max="6"/>
    <col width="14" customWidth="1" min="7" max="7"/>
  </cols>
  <sheetData>
    <row r="1" ht="30" customHeight="1">
      <c r="A1" s="17" t="inlineStr">
        <is>
          <t>5 YILDAN ESKI INVENTAR RO'YXATI</t>
        </is>
      </c>
    </row>
    <row r="2">
      <c r="A2" s="18" t="inlineStr">
        <is>
          <t>SQL: WHERE Sotib_olingan_sana &lt; DATE_SUB(CURDATE(), INTERVAL 5 YEAR)</t>
        </is>
      </c>
    </row>
    <row r="3">
      <c r="A3" s="19" t="inlineStr">
        <is>
          <t>ID</t>
        </is>
      </c>
      <c r="B3" s="19" t="inlineStr">
        <is>
          <t>Nomi</t>
        </is>
      </c>
      <c r="C3" s="19" t="inlineStr">
        <is>
          <t>Turi</t>
        </is>
      </c>
      <c r="D3" s="19" t="inlineStr">
        <is>
          <t>Sotib olingan</t>
        </is>
      </c>
      <c r="E3" s="19" t="inlineStr">
        <is>
          <t>Narxi (so'm)</t>
        </is>
      </c>
      <c r="F3" s="19" t="inlineStr">
        <is>
          <t>Holati</t>
        </is>
      </c>
      <c r="G3" s="19" t="inlineStr">
        <is>
          <t>Yoshi (yil)</t>
        </is>
      </c>
    </row>
    <row r="4">
      <c r="A4" s="20" t="n">
        <v>6</v>
      </c>
      <c r="B4" s="21" t="inlineStr">
        <is>
          <t>Shkaf</t>
        </is>
      </c>
      <c r="C4" s="21" t="inlineStr">
        <is>
          <t>Mebel</t>
        </is>
      </c>
      <c r="D4" s="21" t="inlineStr">
        <is>
          <t>2015-11-22</t>
        </is>
      </c>
      <c r="E4" s="22" t="n">
        <v>700000</v>
      </c>
      <c r="F4" s="12" t="inlineStr">
        <is>
          <t>Ta'mirda</t>
        </is>
      </c>
      <c r="G4" s="23">
        <f>DATEDIF(D4,TODAY(),"Y")</f>
        <v/>
      </c>
    </row>
    <row r="5">
      <c r="A5" s="24" t="n">
        <v>4</v>
      </c>
      <c r="B5" s="25" t="inlineStr">
        <is>
          <t>Daska</t>
        </is>
      </c>
      <c r="C5" s="25" t="inlineStr">
        <is>
          <t>O'quv</t>
        </is>
      </c>
      <c r="D5" s="25" t="inlineStr">
        <is>
          <t>2016-08-05</t>
        </is>
      </c>
      <c r="E5" s="26" t="n">
        <v>600000</v>
      </c>
      <c r="F5" s="11" t="inlineStr">
        <is>
          <t>Yomon</t>
        </is>
      </c>
      <c r="G5" s="27">
        <f>DATEDIF(D5,TODAY(),"Y")</f>
        <v/>
      </c>
    </row>
    <row r="6">
      <c r="A6" s="20" t="n">
        <v>2</v>
      </c>
      <c r="B6" s="21" t="inlineStr">
        <is>
          <t>Stul</t>
        </is>
      </c>
      <c r="C6" s="21" t="inlineStr">
        <is>
          <t>Mebel</t>
        </is>
      </c>
      <c r="D6" s="21" t="inlineStr">
        <is>
          <t>2017-09-01</t>
        </is>
      </c>
      <c r="E6" s="22" t="n">
        <v>150000</v>
      </c>
      <c r="F6" s="10" t="inlineStr">
        <is>
          <t>O'rta</t>
        </is>
      </c>
      <c r="G6" s="23">
        <f>DATEDIF(D6,TODAY(),"Y")</f>
        <v/>
      </c>
    </row>
    <row r="7">
      <c r="A7" s="24" t="n">
        <v>1</v>
      </c>
      <c r="B7" s="25" t="inlineStr">
        <is>
          <t>Stol</t>
        </is>
      </c>
      <c r="C7" s="25" t="inlineStr">
        <is>
          <t>Mebel</t>
        </is>
      </c>
      <c r="D7" s="25" t="inlineStr">
        <is>
          <t>2018-03-15</t>
        </is>
      </c>
      <c r="E7" s="26" t="n">
        <v>450000</v>
      </c>
      <c r="F7" s="6" t="inlineStr">
        <is>
          <t>Yaxshi</t>
        </is>
      </c>
      <c r="G7" s="27">
        <f>DATEDIF(D7,TODAY(),"Y")</f>
        <v/>
      </c>
    </row>
    <row r="8">
      <c r="A8" s="20" t="n">
        <v>7</v>
      </c>
      <c r="B8" s="21" t="inlineStr">
        <is>
          <t>Printer</t>
        </is>
      </c>
      <c r="C8" s="21" t="inlineStr">
        <is>
          <t>Texnika</t>
        </is>
      </c>
      <c r="D8" s="21" t="inlineStr">
        <is>
          <t>2018-06-30</t>
        </is>
      </c>
      <c r="E8" s="22" t="n">
        <v>1800000</v>
      </c>
      <c r="F8" s="10" t="inlineStr">
        <is>
          <t>O'rta</t>
        </is>
      </c>
      <c r="G8" s="23">
        <f>DATEDIF(D8,TODAY(),"Y")</f>
        <v/>
      </c>
    </row>
    <row r="9">
      <c r="A9" s="24" t="n">
        <v>10</v>
      </c>
      <c r="B9" s="25" t="inlineStr">
        <is>
          <t>Kitob javoni</t>
        </is>
      </c>
      <c r="C9" s="25" t="inlineStr">
        <is>
          <t>Mebel</t>
        </is>
      </c>
      <c r="D9" s="25" t="inlineStr">
        <is>
          <t>2014-07-18</t>
        </is>
      </c>
      <c r="E9" s="26" t="n">
        <v>350000</v>
      </c>
      <c r="F9" s="11" t="inlineStr">
        <is>
          <t>Yomon</t>
        </is>
      </c>
      <c r="G9" s="27">
        <f>DATEDIF(D9,TODAY(),"Y")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QAVATLAR BO'YICHA UMUMIY HISOBOT</t>
        </is>
      </c>
    </row>
    <row r="2">
      <c r="A2" s="18" t="inlineStr">
        <is>
          <t>SQL: GROUP BY Xonalar.Qavat — Inventar + Joylashuv + Xonalar JOIN</t>
        </is>
      </c>
    </row>
    <row r="3">
      <c r="A3" s="2" t="inlineStr">
        <is>
          <t>Qavat</t>
        </is>
      </c>
      <c r="B3" s="2" t="inlineStr">
        <is>
          <t>Inventar soni</t>
        </is>
      </c>
      <c r="C3" s="2" t="inlineStr">
        <is>
          <t>Jami qiymat (so'm)</t>
        </is>
      </c>
      <c r="D3" s="2" t="inlineStr">
        <is>
          <t>Yaxshi</t>
        </is>
      </c>
      <c r="E3" s="2" t="inlineStr">
        <is>
          <t>Muammoli</t>
        </is>
      </c>
      <c r="F3" s="2" t="inlineStr">
        <is>
          <t>5+ yil eski</t>
        </is>
      </c>
    </row>
    <row r="4">
      <c r="A4" s="13" t="inlineStr">
        <is>
          <t>1-qavat</t>
        </is>
      </c>
      <c r="B4" s="13" t="n">
        <v>3</v>
      </c>
      <c r="C4" s="28" t="n">
        <v>1200000</v>
      </c>
      <c r="D4" s="6" t="n">
        <v>2</v>
      </c>
      <c r="E4" s="11" t="n">
        <v>1</v>
      </c>
      <c r="F4" s="10" t="n">
        <v>2</v>
      </c>
    </row>
    <row r="5">
      <c r="A5" s="3" t="inlineStr">
        <is>
          <t>2-qavat</t>
        </is>
      </c>
      <c r="B5" s="3" t="n">
        <v>3</v>
      </c>
      <c r="C5" s="29" t="n">
        <v>5500000</v>
      </c>
      <c r="D5" s="6" t="n">
        <v>1</v>
      </c>
      <c r="E5" s="11" t="n">
        <v>2</v>
      </c>
      <c r="F5" s="10" t="n">
        <v>1</v>
      </c>
    </row>
    <row r="6">
      <c r="A6" s="15" t="inlineStr">
        <is>
          <t>3-qavat</t>
        </is>
      </c>
      <c r="B6" s="15" t="n">
        <v>4</v>
      </c>
      <c r="C6" s="30" t="n">
        <v>13025000</v>
      </c>
      <c r="D6" s="6" t="n">
        <v>3</v>
      </c>
      <c r="E6" s="6" t="n">
        <v>0</v>
      </c>
      <c r="F6" s="10" t="n">
        <v>1</v>
      </c>
    </row>
    <row r="7">
      <c r="A7" s="31" t="inlineStr">
        <is>
          <t>JAMI</t>
        </is>
      </c>
      <c r="B7" s="32">
        <f>SUM(B4:B6)</f>
        <v/>
      </c>
      <c r="C7" s="33">
        <f>SUM(C4:C6)</f>
        <v/>
      </c>
      <c r="D7" s="32">
        <f>SUM(D4:D6)</f>
        <v/>
      </c>
      <c r="E7" s="32">
        <f>SUM(E4:E6)</f>
        <v/>
      </c>
      <c r="F7" s="32">
        <f>SUM(F4:F6)</f>
        <v/>
      </c>
    </row>
  </sheetData>
  <mergeCells count="3">
    <mergeCell ref="A2:F2"/>
    <mergeCell ref="A1:F1"/>
    <mergeCell ref="A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</cols>
  <sheetData>
    <row r="1" ht="30" customHeight="1">
      <c r="A1" s="1" t="inlineStr">
        <is>
          <t>SQL SO'ROVLAR TO'PLAMI</t>
        </is>
      </c>
    </row>
    <row r="2" ht="20" customHeight="1">
      <c r="A2" s="34" t="inlineStr">
        <is>
          <t>1. DDL — Jadvallar yaratish</t>
        </is>
      </c>
    </row>
    <row r="3">
      <c r="A3" s="35" t="inlineStr">
        <is>
          <t>CREATE TABLE Inventar (</t>
        </is>
      </c>
      <c r="B3" s="36" t="n"/>
    </row>
    <row r="4">
      <c r="A4" s="35" t="inlineStr">
        <is>
          <t xml:space="preserve">  ID INT PRIMARY KEY AUTO_INCREMENT,</t>
        </is>
      </c>
      <c r="B4" s="36" t="n"/>
    </row>
    <row r="5">
      <c r="A5" s="35" t="inlineStr">
        <is>
          <t xml:space="preserve">  Nomi VARCHAR(100) NOT NULL,</t>
        </is>
      </c>
      <c r="B5" s="36" t="n"/>
    </row>
    <row r="6">
      <c r="A6" s="35" t="inlineStr">
        <is>
          <t xml:space="preserve">  Turi VARCHAR(50),</t>
        </is>
      </c>
      <c r="B6" s="36" t="n"/>
    </row>
    <row r="7">
      <c r="A7" s="35" t="inlineStr">
        <is>
          <t xml:space="preserve">  Sotib_olingan_sana DATE,</t>
        </is>
      </c>
      <c r="B7" s="36" t="n"/>
    </row>
    <row r="8">
      <c r="A8" s="35" t="inlineStr">
        <is>
          <t xml:space="preserve">  Narxi DECIMAL(12,2),</t>
        </is>
      </c>
      <c r="B8" s="36" t="n"/>
    </row>
    <row r="9">
      <c r="A9" s="35" t="inlineStr">
        <is>
          <t xml:space="preserve">  Holati ENUM('Yaxshi','O`rta','Yomon','Ta`mirda')</t>
        </is>
      </c>
      <c r="B9" s="36" t="n"/>
    </row>
    <row r="10">
      <c r="A10" s="35" t="inlineStr">
        <is>
          <t>);</t>
        </is>
      </c>
      <c r="B10" s="36" t="n"/>
    </row>
    <row r="11">
      <c r="A11" s="35" t="inlineStr"/>
      <c r="B11" s="36" t="n"/>
    </row>
    <row r="12">
      <c r="A12" s="35" t="inlineStr">
        <is>
          <t>CREATE TABLE Xonalar (</t>
        </is>
      </c>
      <c r="B12" s="36" t="n"/>
    </row>
    <row r="13">
      <c r="A13" s="35" t="inlineStr">
        <is>
          <t xml:space="preserve">  ID INT PRIMARY KEY AUTO_INCREMENT,</t>
        </is>
      </c>
      <c r="B13" s="36" t="n"/>
    </row>
    <row r="14">
      <c r="A14" s="35" t="inlineStr">
        <is>
          <t xml:space="preserve">  Xona_raqami VARCHAR(10),</t>
        </is>
      </c>
      <c r="B14" s="36" t="n"/>
    </row>
    <row r="15">
      <c r="A15" s="35" t="inlineStr">
        <is>
          <t xml:space="preserve">  Qavat INT,</t>
        </is>
      </c>
      <c r="B15" s="36" t="n"/>
    </row>
    <row r="16">
      <c r="A16" s="35" t="inlineStr">
        <is>
          <t xml:space="preserve">  Masul_shaxs VARCHAR(100)</t>
        </is>
      </c>
      <c r="B16" s="36" t="n"/>
    </row>
    <row r="17">
      <c r="A17" s="35" t="inlineStr">
        <is>
          <t>);</t>
        </is>
      </c>
      <c r="B17" s="36" t="n"/>
    </row>
    <row r="18">
      <c r="A18" s="35" t="inlineStr"/>
      <c r="B18" s="36" t="n"/>
    </row>
    <row r="19">
      <c r="A19" s="35" t="inlineStr">
        <is>
          <t>CREATE TABLE Joylashuv (</t>
        </is>
      </c>
      <c r="B19" s="36" t="n"/>
    </row>
    <row r="20">
      <c r="A20" s="35" t="inlineStr">
        <is>
          <t xml:space="preserve">  ID INT PRIMARY KEY AUTO_INCREMENT,</t>
        </is>
      </c>
      <c r="B20" s="36" t="n"/>
    </row>
    <row r="21">
      <c r="A21" s="35" t="inlineStr">
        <is>
          <t xml:space="preserve">  Inventar_ID INT,</t>
        </is>
      </c>
      <c r="B21" s="36" t="n"/>
    </row>
    <row r="22">
      <c r="A22" s="35" t="inlineStr">
        <is>
          <t xml:space="preserve">  Xona_ID INT,</t>
        </is>
      </c>
      <c r="B22" s="36" t="n"/>
    </row>
    <row r="23">
      <c r="A23" s="35" t="inlineStr">
        <is>
          <t xml:space="preserve">  Kochirilgan_sana DATE,</t>
        </is>
      </c>
      <c r="B23" s="36" t="n"/>
    </row>
    <row r="24">
      <c r="A24" s="35" t="inlineStr">
        <is>
          <t xml:space="preserve">  FOREIGN KEY (Inventar_ID) REFERENCES Inventar(ID),</t>
        </is>
      </c>
      <c r="B24" s="36" t="n"/>
    </row>
    <row r="25">
      <c r="A25" s="35" t="inlineStr">
        <is>
          <t xml:space="preserve">  FOREIGN KEY (Xona_ID) REFERENCES Xonalar(ID)</t>
        </is>
      </c>
      <c r="B25" s="36" t="n"/>
    </row>
    <row r="26">
      <c r="A26" s="35" t="inlineStr">
        <is>
          <t>);</t>
        </is>
      </c>
      <c r="B26" s="36" t="n"/>
    </row>
    <row r="27">
      <c r="A27" s="35" t="inlineStr"/>
      <c r="B27" s="36" t="n"/>
    </row>
    <row r="28">
      <c r="A28" s="35" t="inlineStr">
        <is>
          <t>CREATE TABLE Tamirlash (</t>
        </is>
      </c>
      <c r="B28" s="36" t="n"/>
    </row>
    <row r="29">
      <c r="A29" s="35" t="inlineStr">
        <is>
          <t xml:space="preserve">  ID INT PRIMARY KEY AUTO_INCREMENT,</t>
        </is>
      </c>
      <c r="B29" s="36" t="n"/>
    </row>
    <row r="30">
      <c r="A30" s="35" t="inlineStr">
        <is>
          <t xml:space="preserve">  Inventar_ID INT,</t>
        </is>
      </c>
      <c r="B30" s="36" t="n"/>
    </row>
    <row r="31">
      <c r="A31" s="35" t="inlineStr">
        <is>
          <t xml:space="preserve">  Tamirlash_sanasi DATE,</t>
        </is>
      </c>
      <c r="B31" s="36" t="n"/>
    </row>
    <row r="32">
      <c r="A32" s="35" t="inlineStr">
        <is>
          <t xml:space="preserve">  Xarajat DECIMAL(12,2),</t>
        </is>
      </c>
      <c r="B32" s="36" t="n"/>
    </row>
    <row r="33">
      <c r="A33" s="35" t="inlineStr">
        <is>
          <t xml:space="preserve">  FOREIGN KEY (Inventar_ID) REFERENCES Inventar(ID)</t>
        </is>
      </c>
      <c r="B33" s="36" t="n"/>
    </row>
    <row r="34">
      <c r="A34" s="35" t="inlineStr">
        <is>
          <t>);</t>
        </is>
      </c>
      <c r="B34" s="36" t="n"/>
    </row>
    <row r="36" ht="20" customHeight="1">
      <c r="A36" s="34" t="inlineStr">
        <is>
          <t>2. 5 yildan eski inventar</t>
        </is>
      </c>
    </row>
    <row r="37">
      <c r="A37" s="35" t="inlineStr">
        <is>
          <t>SELECT</t>
        </is>
      </c>
      <c r="B37" s="36" t="n"/>
    </row>
    <row r="38">
      <c r="A38" s="35" t="inlineStr">
        <is>
          <t xml:space="preserve">  i.ID,</t>
        </is>
      </c>
      <c r="B38" s="36" t="n"/>
    </row>
    <row r="39">
      <c r="A39" s="35" t="inlineStr">
        <is>
          <t xml:space="preserve">  i.Nomi,</t>
        </is>
      </c>
      <c r="B39" s="36" t="n"/>
    </row>
    <row r="40">
      <c r="A40" s="35" t="inlineStr">
        <is>
          <t xml:space="preserve">  i.Turi,</t>
        </is>
      </c>
      <c r="B40" s="36" t="n"/>
    </row>
    <row r="41">
      <c r="A41" s="35" t="inlineStr">
        <is>
          <t xml:space="preserve">  i.Sotib_olingan_sana,</t>
        </is>
      </c>
      <c r="B41" s="36" t="n"/>
    </row>
    <row r="42">
      <c r="A42" s="35" t="inlineStr">
        <is>
          <t xml:space="preserve">  i.Narxi,</t>
        </is>
      </c>
      <c r="B42" s="36" t="n"/>
    </row>
    <row r="43">
      <c r="A43" s="35" t="inlineStr">
        <is>
          <t xml:space="preserve">  i.Holati,</t>
        </is>
      </c>
      <c r="B43" s="36" t="n"/>
    </row>
    <row r="44">
      <c r="A44" s="35" t="inlineStr">
        <is>
          <t xml:space="preserve">  TIMESTAMPDIFF(YEAR, i.Sotib_olingan_sana, CURDATE()) AS Yosh_yil</t>
        </is>
      </c>
      <c r="B44" s="36" t="n"/>
    </row>
    <row r="45">
      <c r="A45" s="35" t="inlineStr">
        <is>
          <t>FROM Inventar i</t>
        </is>
      </c>
      <c r="B45" s="36" t="n"/>
    </row>
    <row r="46">
      <c r="A46" s="35" t="inlineStr">
        <is>
          <t>WHERE i.Sotib_olingan_sana &lt; DATE_SUB(CURDATE(), INTERVAL 5 YEAR)</t>
        </is>
      </c>
      <c r="B46" s="36" t="n"/>
    </row>
    <row r="47">
      <c r="A47" s="35" t="inlineStr">
        <is>
          <t>ORDER BY i.Sotib_olingan_sana ASC;</t>
        </is>
      </c>
      <c r="B47" s="36" t="n"/>
    </row>
    <row r="49" ht="20" customHeight="1">
      <c r="A49" s="34" t="inlineStr">
        <is>
          <t>3. Qavatlar bo'yicha hisobot</t>
        </is>
      </c>
    </row>
    <row r="50">
      <c r="A50" s="35" t="inlineStr">
        <is>
          <t>SELECT</t>
        </is>
      </c>
      <c r="B50" s="36" t="n"/>
    </row>
    <row r="51">
      <c r="A51" s="35" t="inlineStr">
        <is>
          <t xml:space="preserve">  x.Qavat,</t>
        </is>
      </c>
      <c r="B51" s="36" t="n"/>
    </row>
    <row r="52">
      <c r="A52" s="35" t="inlineStr">
        <is>
          <t xml:space="preserve">  COUNT(DISTINCT i.ID)       AS Inventar_soni,</t>
        </is>
      </c>
      <c r="B52" s="36" t="n"/>
    </row>
    <row r="53">
      <c r="A53" s="35" t="inlineStr">
        <is>
          <t xml:space="preserve">  SUM(i.Narxi)               AS Jami_qiymat,</t>
        </is>
      </c>
      <c r="B53" s="36" t="n"/>
    </row>
    <row r="54">
      <c r="A54" s="35" t="inlineStr">
        <is>
          <t xml:space="preserve">  SUM(CASE WHEN i.Holati='Yaxshi' THEN 1 ELSE 0 END) AS Yaxshi,</t>
        </is>
      </c>
      <c r="B54" s="36" t="n"/>
    </row>
    <row r="55">
      <c r="A55" s="35" t="inlineStr">
        <is>
          <t xml:space="preserve">  SUM(CASE WHEN i.Holati IN ('Yomon','Ta`mirda') THEN 1 ELSE 0 END) AS Muammoli</t>
        </is>
      </c>
      <c r="B55" s="36" t="n"/>
    </row>
    <row r="56">
      <c r="A56" s="35" t="inlineStr">
        <is>
          <t>FROM Inventar i</t>
        </is>
      </c>
      <c r="B56" s="36" t="n"/>
    </row>
    <row r="57">
      <c r="A57" s="35" t="inlineStr">
        <is>
          <t>JOIN Joylashuv j ON i.ID = j.Inventar_ID</t>
        </is>
      </c>
      <c r="B57" s="36" t="n"/>
    </row>
    <row r="58">
      <c r="A58" s="35" t="inlineStr">
        <is>
          <t>JOIN Xonalar x ON j.Xona_ID = x.ID</t>
        </is>
      </c>
      <c r="B58" s="36" t="n"/>
    </row>
    <row r="59">
      <c r="A59" s="35" t="inlineStr">
        <is>
          <t>GROUP BY x.Qavat</t>
        </is>
      </c>
      <c r="B59" s="36" t="n"/>
    </row>
    <row r="60">
      <c r="A60" s="35" t="inlineStr">
        <is>
          <t>ORDER BY x.Qavat;</t>
        </is>
      </c>
      <c r="B60" s="36" t="n"/>
    </row>
    <row r="62" ht="20" customHeight="1">
      <c r="A62" s="34" t="inlineStr">
        <is>
          <t>4. Eng ko'p ta'mirlangan</t>
        </is>
      </c>
    </row>
    <row r="63">
      <c r="A63" s="35" t="inlineStr">
        <is>
          <t>SELECT</t>
        </is>
      </c>
      <c r="B63" s="36" t="n"/>
    </row>
    <row r="64">
      <c r="A64" s="35" t="inlineStr">
        <is>
          <t xml:space="preserve">  i.Nomi,</t>
        </is>
      </c>
      <c r="B64" s="36" t="n"/>
    </row>
    <row r="65">
      <c r="A65" s="35" t="inlineStr">
        <is>
          <t xml:space="preserve">  COUNT(t.ID)   AS Tamir_soni,</t>
        </is>
      </c>
      <c r="B65" s="36" t="n"/>
    </row>
    <row r="66">
      <c r="A66" s="35" t="inlineStr">
        <is>
          <t xml:space="preserve">  SUM(t.Xarajat) AS Jami_xarajat</t>
        </is>
      </c>
      <c r="B66" s="36" t="n"/>
    </row>
    <row r="67">
      <c r="A67" s="35" t="inlineStr">
        <is>
          <t>FROM Inventar i</t>
        </is>
      </c>
      <c r="B67" s="36" t="n"/>
    </row>
    <row r="68">
      <c r="A68" s="35" t="inlineStr">
        <is>
          <t>JOIN Tamirlash t ON i.ID = t.Inventar_ID</t>
        </is>
      </c>
      <c r="B68" s="36" t="n"/>
    </row>
    <row r="69">
      <c r="A69" s="35" t="inlineStr">
        <is>
          <t>GROUP BY i.ID, i.Nomi</t>
        </is>
      </c>
      <c r="B69" s="36" t="n"/>
    </row>
    <row r="70">
      <c r="A70" s="35" t="inlineStr">
        <is>
          <t>ORDER BY Tamir_soni DESC</t>
        </is>
      </c>
      <c r="B70" s="36" t="n"/>
    </row>
    <row r="71">
      <c r="A71" s="35" t="inlineStr">
        <is>
          <t>LIMIT 5;</t>
        </is>
      </c>
      <c r="B71" s="36" t="n"/>
    </row>
    <row r="73" ht="20" customHeight="1">
      <c r="A73" s="34" t="inlineStr">
        <is>
          <t>5. Hozirgi joylashuv</t>
        </is>
      </c>
    </row>
    <row r="74">
      <c r="A74" s="35" t="inlineStr">
        <is>
          <t>SELECT i.Nomi, x.Xona_raqami, x.Qavat, x.Masul_shaxs, j.Kochirilgan_sana</t>
        </is>
      </c>
      <c r="B74" s="36" t="n"/>
    </row>
    <row r="75">
      <c r="A75" s="35" t="inlineStr">
        <is>
          <t>FROM Inventar i</t>
        </is>
      </c>
      <c r="B75" s="36" t="n"/>
    </row>
    <row r="76">
      <c r="A76" s="35" t="inlineStr">
        <is>
          <t>JOIN Joylashuv j ON i.ID = j.Inventar_ID</t>
        </is>
      </c>
      <c r="B76" s="36" t="n"/>
    </row>
    <row r="77">
      <c r="A77" s="35" t="inlineStr">
        <is>
          <t>JOIN Xonalar x ON j.Xona_ID = x.ID</t>
        </is>
      </c>
      <c r="B77" s="36" t="n"/>
    </row>
    <row r="78">
      <c r="A78" s="35" t="inlineStr">
        <is>
          <t>WHERE j.Kochirilgan_sana = (</t>
        </is>
      </c>
      <c r="B78" s="36" t="n"/>
    </row>
    <row r="79">
      <c r="A79" s="35" t="inlineStr">
        <is>
          <t xml:space="preserve">  SELECT MAX(j2.Kochirilgan_sana)</t>
        </is>
      </c>
      <c r="B79" s="36" t="n"/>
    </row>
    <row r="80">
      <c r="A80" s="35" t="inlineStr">
        <is>
          <t xml:space="preserve">  FROM Joylashuv j2</t>
        </is>
      </c>
      <c r="B80" s="36" t="n"/>
    </row>
    <row r="81">
      <c r="A81" s="35" t="inlineStr">
        <is>
          <t xml:space="preserve">  WHERE j2.Inventar_ID = i.ID</t>
        </is>
      </c>
      <c r="B81" s="36" t="n"/>
    </row>
    <row r="82">
      <c r="A82" s="35" t="inlineStr">
        <is>
          <t>)</t>
        </is>
      </c>
      <c r="B82" s="36" t="n"/>
    </row>
    <row r="83">
      <c r="A83" s="35" t="inlineStr">
        <is>
          <t>ORDER BY x.Qavat, x.Xona_raqami;</t>
        </is>
      </c>
      <c r="B83" s="36" t="n"/>
    </row>
  </sheetData>
  <mergeCells count="79">
    <mergeCell ref="A15:B15"/>
    <mergeCell ref="A64:B64"/>
    <mergeCell ref="A73:B73"/>
    <mergeCell ref="A51:B51"/>
    <mergeCell ref="A70:B70"/>
    <mergeCell ref="A54:B54"/>
    <mergeCell ref="A7:B7"/>
    <mergeCell ref="A41:B41"/>
    <mergeCell ref="A74:B74"/>
    <mergeCell ref="A56:B56"/>
    <mergeCell ref="A27:B27"/>
    <mergeCell ref="A76:B76"/>
    <mergeCell ref="A33:B33"/>
    <mergeCell ref="A42:B42"/>
    <mergeCell ref="A17:B17"/>
    <mergeCell ref="A22:B22"/>
    <mergeCell ref="A53:B53"/>
    <mergeCell ref="A62:B62"/>
    <mergeCell ref="A19:B19"/>
    <mergeCell ref="A68:B68"/>
    <mergeCell ref="A28:B28"/>
    <mergeCell ref="A9:B9"/>
    <mergeCell ref="A39:B39"/>
    <mergeCell ref="A30:B30"/>
    <mergeCell ref="A59:B59"/>
    <mergeCell ref="A11:B11"/>
    <mergeCell ref="A45:B45"/>
    <mergeCell ref="A79:B79"/>
    <mergeCell ref="A37:B37"/>
    <mergeCell ref="A46:B46"/>
    <mergeCell ref="A26:B26"/>
    <mergeCell ref="A71:B71"/>
    <mergeCell ref="A8:B8"/>
    <mergeCell ref="A52:B52"/>
    <mergeCell ref="A63:B63"/>
    <mergeCell ref="A10:B10"/>
    <mergeCell ref="A77:B77"/>
    <mergeCell ref="A34:B34"/>
    <mergeCell ref="A83:B83"/>
    <mergeCell ref="A49:B49"/>
    <mergeCell ref="A36:B36"/>
    <mergeCell ref="A1:B1"/>
    <mergeCell ref="A69:B69"/>
    <mergeCell ref="A78:B78"/>
    <mergeCell ref="A65:B65"/>
    <mergeCell ref="A75:B75"/>
    <mergeCell ref="A80:B80"/>
    <mergeCell ref="A3:B3"/>
    <mergeCell ref="A55:B55"/>
    <mergeCell ref="A12:B12"/>
    <mergeCell ref="A21:B21"/>
    <mergeCell ref="A57:B57"/>
    <mergeCell ref="A5:B5"/>
    <mergeCell ref="A32:B32"/>
    <mergeCell ref="A14:B14"/>
    <mergeCell ref="A23:B23"/>
    <mergeCell ref="A4:B4"/>
    <mergeCell ref="A38:B38"/>
    <mergeCell ref="A43:B43"/>
    <mergeCell ref="A40:B40"/>
    <mergeCell ref="A67:B67"/>
    <mergeCell ref="A24:B24"/>
    <mergeCell ref="A82:B82"/>
    <mergeCell ref="A60:B60"/>
    <mergeCell ref="A6:B6"/>
    <mergeCell ref="A16:B16"/>
    <mergeCell ref="A25:B25"/>
    <mergeCell ref="A66:B66"/>
    <mergeCell ref="A18:B18"/>
    <mergeCell ref="A50:B50"/>
    <mergeCell ref="A2:B2"/>
    <mergeCell ref="A47:B47"/>
    <mergeCell ref="A20:B20"/>
    <mergeCell ref="A29:B29"/>
    <mergeCell ref="A81:B81"/>
    <mergeCell ref="A13:B13"/>
    <mergeCell ref="A44:B44"/>
    <mergeCell ref="A31:B31"/>
    <mergeCell ref="A58:B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2026-06-08T07:06:23Z</dcterms:created>
  <dcterms:modified xmlns:dcterms="http://purl.org/dc/terms/" xmlns:xsi="http://www.w3.org/2001/XMLSchema-instance" xsi:type="dcterms:W3CDTF">2026-06-08T07:06:23Z</dcterms:modified>
</cp:coreProperties>
</file>
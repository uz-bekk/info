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ob Katalogi" sheetId="1" state="visible" r:id="rId3"/>
    <sheet name="ID bo'yicha Qidirish" sheetId="2" state="visible" r:id="rId4"/>
    <sheet name="Narx Saralash" sheetId="3" state="visible" r:id="rId5"/>
    <sheet name="Statistika" sheetId="4" state="visible" r:id="rId6"/>
  </sheets>
  <definedNames>
    <definedName function="false" hidden="true" localSheetId="0" name="_xlnm._FilterDatabase" vbProcedure="false">'Kitob Katalogi'!$A$1:$G$51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<sst xmlns="http://schemas.openxmlformats.org/spreadsheetml/2006/main" count="334" uniqueCount="98">
  <si>
    <t xml:space="preserve">ID</t>
  </si>
  <si>
    <t xml:space="preserve">Kitob nomi</t>
  </si>
  <si>
    <t xml:space="preserve">Muallif</t>
  </si>
  <si>
    <t xml:space="preserve">Janr</t>
  </si>
  <si>
    <t xml:space="preserve">Narx (so'm)</t>
  </si>
  <si>
    <t xml:space="preserve">Soni</t>
  </si>
  <si>
    <t xml:space="preserve">Umumiy qiymat (so'm)</t>
  </si>
  <si>
    <t xml:space="preserve">O'tkan kunlar</t>
  </si>
  <si>
    <t xml:space="preserve">G'afur G'ulom</t>
  </si>
  <si>
    <t xml:space="preserve">Roman</t>
  </si>
  <si>
    <t xml:space="preserve">Kecha va kunduz</t>
  </si>
  <si>
    <t xml:space="preserve">Tog'ay Murod</t>
  </si>
  <si>
    <t xml:space="preserve">Tarix</t>
  </si>
  <si>
    <t xml:space="preserve">Qutlug' qon</t>
  </si>
  <si>
    <t xml:space="preserve">Shayхzoda</t>
  </si>
  <si>
    <t xml:space="preserve">Ilmiy</t>
  </si>
  <si>
    <t xml:space="preserve">Men mard yigitni sevaman</t>
  </si>
  <si>
    <t xml:space="preserve">Abdulla Qodiriy</t>
  </si>
  <si>
    <t xml:space="preserve">Ikki eshik orasi</t>
  </si>
  <si>
    <t xml:space="preserve">Fitrat</t>
  </si>
  <si>
    <t xml:space="preserve">Sarob</t>
  </si>
  <si>
    <t xml:space="preserve">Badiiy</t>
  </si>
  <si>
    <t xml:space="preserve">Nur qidirib</t>
  </si>
  <si>
    <t xml:space="preserve">Ulmas Umarbekov</t>
  </si>
  <si>
    <t xml:space="preserve">Ulug'bek xazinasi</t>
  </si>
  <si>
    <t xml:space="preserve">Hamid Olimjon</t>
  </si>
  <si>
    <t xml:space="preserve">Darslik</t>
  </si>
  <si>
    <t xml:space="preserve">Shum bola</t>
  </si>
  <si>
    <t xml:space="preserve">Nодир Норматов</t>
  </si>
  <si>
    <t xml:space="preserve">Daftar hoshiyasidagi bitiklar</t>
  </si>
  <si>
    <t xml:space="preserve">Zulfiya</t>
  </si>
  <si>
    <t xml:space="preserve">Yulduzli tunlar</t>
  </si>
  <si>
    <t xml:space="preserve">Sobir Mirvaliyev</t>
  </si>
  <si>
    <t xml:space="preserve">Biografiya</t>
  </si>
  <si>
    <t xml:space="preserve">Boqiy darbadar</t>
  </si>
  <si>
    <t xml:space="preserve">Oybek</t>
  </si>
  <si>
    <t xml:space="preserve">Isyonkor ko'ngil</t>
  </si>
  <si>
    <t xml:space="preserve">Alvido, bolalik</t>
  </si>
  <si>
    <t xml:space="preserve">Safar</t>
  </si>
  <si>
    <t xml:space="preserve">Xurshid Do'stmuhammad</t>
  </si>
  <si>
    <t xml:space="preserve">Qo'shiqlar kitobi</t>
  </si>
  <si>
    <t xml:space="preserve">Mirmuhsin</t>
  </si>
  <si>
    <t xml:space="preserve">She'riyat</t>
  </si>
  <si>
    <t xml:space="preserve">Ko'hna dunyo</t>
  </si>
  <si>
    <t xml:space="preserve">Abdulla Oripov</t>
  </si>
  <si>
    <t xml:space="preserve">Baxt qayerda</t>
  </si>
  <si>
    <t xml:space="preserve">Mehr yurti</t>
  </si>
  <si>
    <t xml:space="preserve">Falsafa</t>
  </si>
  <si>
    <t xml:space="preserve">Tanlangan asarlar</t>
  </si>
  <si>
    <t xml:space="preserve">Dunyoning ishlari</t>
  </si>
  <si>
    <t xml:space="preserve">Cho'lpon</t>
  </si>
  <si>
    <t xml:space="preserve">Sevgi va nafrat</t>
  </si>
  <si>
    <t xml:space="preserve">Hayot o'tkinchi</t>
  </si>
  <si>
    <t xml:space="preserve">Muhabbat alami</t>
  </si>
  <si>
    <t xml:space="preserve">Vatan tuprog'i</t>
  </si>
  <si>
    <t xml:space="preserve">Osmon osti</t>
  </si>
  <si>
    <t xml:space="preserve">Fantastika</t>
  </si>
  <si>
    <t xml:space="preserve">Meros</t>
  </si>
  <si>
    <t xml:space="preserve">Erkin Vohidov</t>
  </si>
  <si>
    <t xml:space="preserve">Ona yurt</t>
  </si>
  <si>
    <t xml:space="preserve">Qalbim qo'shig'i</t>
  </si>
  <si>
    <t xml:space="preserve">Orzular ortida</t>
  </si>
  <si>
    <t xml:space="preserve">Detektiv</t>
  </si>
  <si>
    <t xml:space="preserve">Bahor shamoli</t>
  </si>
  <si>
    <t xml:space="preserve">Yoshlik yillari</t>
  </si>
  <si>
    <t xml:space="preserve">Iztiroblar</t>
  </si>
  <si>
    <t xml:space="preserve">To'lqinlar</t>
  </si>
  <si>
    <t xml:space="preserve">G'urur va kamtarlik</t>
  </si>
  <si>
    <t xml:space="preserve">Hayot sirlari</t>
  </si>
  <si>
    <t xml:space="preserve">Umr yo'li</t>
  </si>
  <si>
    <t xml:space="preserve">Sevgi izlari</t>
  </si>
  <si>
    <t xml:space="preserve">Qadrdon ko'chalar</t>
  </si>
  <si>
    <t xml:space="preserve">Yashil dalalar</t>
  </si>
  <si>
    <t xml:space="preserve">Ko'zimning qorachig'i</t>
  </si>
  <si>
    <t xml:space="preserve">Tun va tong</t>
  </si>
  <si>
    <t xml:space="preserve">Rang-barang dunyo</t>
  </si>
  <si>
    <t xml:space="preserve">Quyosh chiqishi</t>
  </si>
  <si>
    <t xml:space="preserve">Nozik his</t>
  </si>
  <si>
    <t xml:space="preserve">Said Ahmad</t>
  </si>
  <si>
    <t xml:space="preserve">Yulduz porlaydi</t>
  </si>
  <si>
    <t xml:space="preserve">Qish kechalari</t>
  </si>
  <si>
    <t xml:space="preserve">Armon</t>
  </si>
  <si>
    <t xml:space="preserve">Intilish</t>
  </si>
  <si>
    <t xml:space="preserve">Buyuk orzu</t>
  </si>
  <si>
    <t xml:space="preserve">JAMI</t>
  </si>
  <si>
    <t xml:space="preserve">📚  KITOB ID BO'YICHA QIDIRISH</t>
  </si>
  <si>
    <t xml:space="preserve">Kitob ID kiriting:</t>
  </si>
  <si>
    <t xml:space="preserve">Kitob ID</t>
  </si>
  <si>
    <t xml:space="preserve">Umumiy qiymat</t>
  </si>
  <si>
    <t xml:space="preserve">💰  NARX BO'YICHA SARALANGAN KATALOG (ARZON → QIMMAT)</t>
  </si>
  <si>
    <t xml:space="preserve">📊  KATALOG STATISTIKASI</t>
  </si>
  <si>
    <t xml:space="preserve">Jami kitob turlari</t>
  </si>
  <si>
    <t xml:space="preserve">Jami kitoblar soni</t>
  </si>
  <si>
    <t xml:space="preserve">Jami qiymat (so'm)</t>
  </si>
  <si>
    <t xml:space="preserve">O'rtacha narx (so'm)</t>
  </si>
  <si>
    <t xml:space="preserve">Eng arzon narx (so'm)</t>
  </si>
  <si>
    <t xml:space="preserve">Eng qimmat narx (so'm)</t>
  </si>
  <si>
    <t xml:space="preserve">O'rtacha soni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</si>
</sst>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A3C6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EBF2FB"/>
        <bgColor rgb="FFFFFFFF"/>
      </patternFill>
    </fill>
    <fill>
      <patternFill patternType="solid">
        <fgColor rgb="FFFFFFFF"/>
        <bgColor rgb="FFFFF8DC"/>
      </patternFill>
    </fill>
    <fill>
      <patternFill patternType="solid">
        <fgColor rgb="FFFFF3CD"/>
        <bgColor rgb="FFFFFACD"/>
      </patternFill>
    </fill>
    <fill>
      <patternFill patternType="solid">
        <fgColor rgb="FFFFFACD"/>
        <bgColor rgb="FFFFF8DC"/>
      </patternFill>
    </fill>
    <fill>
      <patternFill patternType="solid">
        <fgColor rgb="FF2E75B6"/>
        <bgColor rgb="FF0066CC"/>
      </patternFill>
    </fill>
    <fill>
      <patternFill patternType="solid">
        <fgColor rgb="FFFFF8DC"/>
        <bgColor rgb="FFFFFA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3C6E"/>
          <bgColor rgb="FF000000"/>
        </patternFill>
      </fill>
    </dxf>
    <dxf>
      <fill>
        <patternFill patternType="solid">
          <fgColor rgb="FFEB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EB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8DC"/>
      <rgbColor rgb="FFFFF3CD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" hidden="false" customHeight="true" outlineLevel="0" collapsed="false">
      <c r="A2" s="2" t="n">
        <v>1</v>
      </c>
      <c r="B2" s="3" t="s">
        <v>7</v>
      </c>
      <c r="C2" s="3" t="s">
        <v>8</v>
      </c>
      <c r="D2" s="2" t="s">
        <v>9</v>
      </c>
      <c r="E2" s="4" t="n">
        <v>92900</v>
      </c>
      <c r="F2" s="2" t="n">
        <v>32</v>
      </c>
      <c r="G2" s="4" t="n">
        <f aca="false">E2*F2</f>
        <v>2972800</v>
      </c>
    </row>
    <row r="3" customFormat="false" ht="18" hidden="false" customHeight="true" outlineLevel="0" collapsed="false">
      <c r="A3" s="5" t="n">
        <v>2</v>
      </c>
      <c r="B3" s="6" t="s">
        <v>10</v>
      </c>
      <c r="C3" s="6" t="s">
        <v>11</v>
      </c>
      <c r="D3" s="5" t="s">
        <v>12</v>
      </c>
      <c r="E3" s="7" t="n">
        <v>92300</v>
      </c>
      <c r="F3" s="5" t="n">
        <v>87</v>
      </c>
      <c r="G3" s="7" t="n">
        <f aca="false">E3*F3</f>
        <v>8030100</v>
      </c>
    </row>
    <row r="4" customFormat="false" ht="18" hidden="false" customHeight="true" outlineLevel="0" collapsed="false">
      <c r="A4" s="2" t="n">
        <v>3</v>
      </c>
      <c r="B4" s="3" t="s">
        <v>13</v>
      </c>
      <c r="C4" s="3" t="s">
        <v>14</v>
      </c>
      <c r="D4" s="2" t="s">
        <v>15</v>
      </c>
      <c r="E4" s="4" t="n">
        <v>77000</v>
      </c>
      <c r="F4" s="2" t="n">
        <v>5</v>
      </c>
      <c r="G4" s="4" t="n">
        <f aca="false">E4*F4</f>
        <v>385000</v>
      </c>
    </row>
    <row r="5" customFormat="false" ht="18" hidden="false" customHeight="true" outlineLevel="0" collapsed="false">
      <c r="A5" s="5" t="n">
        <v>4</v>
      </c>
      <c r="B5" s="6" t="s">
        <v>16</v>
      </c>
      <c r="C5" s="6" t="s">
        <v>17</v>
      </c>
      <c r="D5" s="5" t="s">
        <v>15</v>
      </c>
      <c r="E5" s="7" t="n">
        <v>38000</v>
      </c>
      <c r="F5" s="5" t="n">
        <v>65</v>
      </c>
      <c r="G5" s="7" t="n">
        <f aca="false">E5*F5</f>
        <v>2470000</v>
      </c>
    </row>
    <row r="6" customFormat="false" ht="18" hidden="false" customHeight="true" outlineLevel="0" collapsed="false">
      <c r="A6" s="2" t="n">
        <v>5</v>
      </c>
      <c r="B6" s="3" t="s">
        <v>18</v>
      </c>
      <c r="C6" s="3" t="s">
        <v>19</v>
      </c>
      <c r="D6" s="2" t="s">
        <v>9</v>
      </c>
      <c r="E6" s="4" t="n">
        <v>73900</v>
      </c>
      <c r="F6" s="2" t="n">
        <v>92</v>
      </c>
      <c r="G6" s="4" t="n">
        <f aca="false">E6*F6</f>
        <v>6798800</v>
      </c>
    </row>
    <row r="7" customFormat="false" ht="18" hidden="false" customHeight="true" outlineLevel="0" collapsed="false">
      <c r="A7" s="5" t="n">
        <v>6</v>
      </c>
      <c r="B7" s="6" t="s">
        <v>20</v>
      </c>
      <c r="C7" s="6" t="s">
        <v>14</v>
      </c>
      <c r="D7" s="5" t="s">
        <v>21</v>
      </c>
      <c r="E7" s="7" t="n">
        <v>38100</v>
      </c>
      <c r="F7" s="5" t="n">
        <v>76</v>
      </c>
      <c r="G7" s="7" t="n">
        <f aca="false">E7*F7</f>
        <v>2895600</v>
      </c>
    </row>
    <row r="8" customFormat="false" ht="18" hidden="false" customHeight="true" outlineLevel="0" collapsed="false">
      <c r="A8" s="2" t="n">
        <v>7</v>
      </c>
      <c r="B8" s="3" t="s">
        <v>22</v>
      </c>
      <c r="C8" s="3" t="s">
        <v>23</v>
      </c>
      <c r="D8" s="2" t="s">
        <v>9</v>
      </c>
      <c r="E8" s="4" t="n">
        <v>94700</v>
      </c>
      <c r="F8" s="2" t="n">
        <v>21</v>
      </c>
      <c r="G8" s="4" t="n">
        <f aca="false">E8*F8</f>
        <v>1988700</v>
      </c>
    </row>
    <row r="9" customFormat="false" ht="18" hidden="false" customHeight="true" outlineLevel="0" collapsed="false">
      <c r="A9" s="5" t="n">
        <v>8</v>
      </c>
      <c r="B9" s="6" t="s">
        <v>24</v>
      </c>
      <c r="C9" s="6" t="s">
        <v>25</v>
      </c>
      <c r="D9" s="5" t="s">
        <v>26</v>
      </c>
      <c r="E9" s="7" t="n">
        <v>44200</v>
      </c>
      <c r="F9" s="5" t="n">
        <v>28</v>
      </c>
      <c r="G9" s="7" t="n">
        <f aca="false">E9*F9</f>
        <v>1237600</v>
      </c>
    </row>
    <row r="10" customFormat="false" ht="18" hidden="false" customHeight="true" outlineLevel="0" collapsed="false">
      <c r="A10" s="2" t="n">
        <v>9</v>
      </c>
      <c r="B10" s="3" t="s">
        <v>27</v>
      </c>
      <c r="C10" s="3" t="s">
        <v>28</v>
      </c>
      <c r="D10" s="2" t="s">
        <v>15</v>
      </c>
      <c r="E10" s="4" t="n">
        <v>24700</v>
      </c>
      <c r="F10" s="2" t="n">
        <v>13</v>
      </c>
      <c r="G10" s="4" t="n">
        <f aca="false">E10*F10</f>
        <v>321100</v>
      </c>
    </row>
    <row r="11" customFormat="false" ht="18" hidden="false" customHeight="true" outlineLevel="0" collapsed="false">
      <c r="A11" s="5" t="n">
        <v>10</v>
      </c>
      <c r="B11" s="6" t="s">
        <v>29</v>
      </c>
      <c r="C11" s="6" t="s">
        <v>30</v>
      </c>
      <c r="D11" s="5" t="s">
        <v>26</v>
      </c>
      <c r="E11" s="7" t="n">
        <v>78400</v>
      </c>
      <c r="F11" s="5" t="n">
        <v>6</v>
      </c>
      <c r="G11" s="7" t="n">
        <f aca="false">E11*F11</f>
        <v>470400</v>
      </c>
    </row>
    <row r="12" customFormat="false" ht="18" hidden="false" customHeight="true" outlineLevel="0" collapsed="false">
      <c r="A12" s="2" t="n">
        <v>11</v>
      </c>
      <c r="B12" s="3" t="s">
        <v>31</v>
      </c>
      <c r="C12" s="3" t="s">
        <v>32</v>
      </c>
      <c r="D12" s="2" t="s">
        <v>33</v>
      </c>
      <c r="E12" s="4" t="n">
        <v>28100</v>
      </c>
      <c r="F12" s="2" t="n">
        <v>49</v>
      </c>
      <c r="G12" s="4" t="n">
        <f aca="false">E12*F12</f>
        <v>1376900</v>
      </c>
    </row>
    <row r="13" customFormat="false" ht="18" hidden="false" customHeight="true" outlineLevel="0" collapsed="false">
      <c r="A13" s="5" t="n">
        <v>12</v>
      </c>
      <c r="B13" s="6" t="s">
        <v>34</v>
      </c>
      <c r="C13" s="6" t="s">
        <v>35</v>
      </c>
      <c r="D13" s="5" t="s">
        <v>33</v>
      </c>
      <c r="E13" s="7" t="n">
        <v>45800</v>
      </c>
      <c r="F13" s="5" t="n">
        <v>81</v>
      </c>
      <c r="G13" s="7" t="n">
        <f aca="false">E13*F13</f>
        <v>3709800</v>
      </c>
    </row>
    <row r="14" customFormat="false" ht="18" hidden="false" customHeight="true" outlineLevel="0" collapsed="false">
      <c r="A14" s="2" t="n">
        <v>13</v>
      </c>
      <c r="B14" s="3" t="s">
        <v>36</v>
      </c>
      <c r="C14" s="3" t="s">
        <v>19</v>
      </c>
      <c r="D14" s="2" t="s">
        <v>26</v>
      </c>
      <c r="E14" s="4" t="n">
        <v>75600</v>
      </c>
      <c r="F14" s="2" t="n">
        <v>91</v>
      </c>
      <c r="G14" s="4" t="n">
        <f aca="false">E14*F14</f>
        <v>6879600</v>
      </c>
    </row>
    <row r="15" customFormat="false" ht="18" hidden="false" customHeight="true" outlineLevel="0" collapsed="false">
      <c r="A15" s="5" t="n">
        <v>14</v>
      </c>
      <c r="B15" s="6" t="s">
        <v>37</v>
      </c>
      <c r="C15" s="6" t="s">
        <v>35</v>
      </c>
      <c r="D15" s="5" t="s">
        <v>9</v>
      </c>
      <c r="E15" s="7" t="n">
        <v>84400</v>
      </c>
      <c r="F15" s="5" t="n">
        <v>99</v>
      </c>
      <c r="G15" s="7" t="n">
        <f aca="false">E15*F15</f>
        <v>8355600</v>
      </c>
    </row>
    <row r="16" customFormat="false" ht="18" hidden="false" customHeight="true" outlineLevel="0" collapsed="false">
      <c r="A16" s="2" t="n">
        <v>15</v>
      </c>
      <c r="B16" s="3" t="s">
        <v>38</v>
      </c>
      <c r="C16" s="3" t="s">
        <v>39</v>
      </c>
      <c r="D16" s="2" t="s">
        <v>15</v>
      </c>
      <c r="E16" s="4" t="n">
        <v>104800</v>
      </c>
      <c r="F16" s="2" t="n">
        <v>13</v>
      </c>
      <c r="G16" s="4" t="n">
        <f aca="false">E16*F16</f>
        <v>1362400</v>
      </c>
    </row>
    <row r="17" customFormat="false" ht="18" hidden="false" customHeight="true" outlineLevel="0" collapsed="false">
      <c r="A17" s="5" t="n">
        <v>16</v>
      </c>
      <c r="B17" s="6" t="s">
        <v>40</v>
      </c>
      <c r="C17" s="6" t="s">
        <v>41</v>
      </c>
      <c r="D17" s="5" t="s">
        <v>42</v>
      </c>
      <c r="E17" s="7" t="n">
        <v>62600</v>
      </c>
      <c r="F17" s="5" t="n">
        <v>47</v>
      </c>
      <c r="G17" s="7" t="n">
        <f aca="false">E17*F17</f>
        <v>2942200</v>
      </c>
    </row>
    <row r="18" customFormat="false" ht="18" hidden="false" customHeight="true" outlineLevel="0" collapsed="false">
      <c r="A18" s="2" t="n">
        <v>17</v>
      </c>
      <c r="B18" s="3" t="s">
        <v>43</v>
      </c>
      <c r="C18" s="3" t="s">
        <v>44</v>
      </c>
      <c r="D18" s="2" t="s">
        <v>26</v>
      </c>
      <c r="E18" s="4" t="n">
        <v>52300</v>
      </c>
      <c r="F18" s="2" t="n">
        <v>86</v>
      </c>
      <c r="G18" s="4" t="n">
        <f aca="false">E18*F18</f>
        <v>4497800</v>
      </c>
    </row>
    <row r="19" customFormat="false" ht="18" hidden="false" customHeight="true" outlineLevel="0" collapsed="false">
      <c r="A19" s="5" t="n">
        <v>18</v>
      </c>
      <c r="B19" s="6" t="s">
        <v>45</v>
      </c>
      <c r="C19" s="6" t="s">
        <v>23</v>
      </c>
      <c r="D19" s="5" t="s">
        <v>15</v>
      </c>
      <c r="E19" s="7" t="n">
        <v>79000</v>
      </c>
      <c r="F19" s="5" t="n">
        <v>22</v>
      </c>
      <c r="G19" s="7" t="n">
        <f aca="false">E19*F19</f>
        <v>1738000</v>
      </c>
    </row>
    <row r="20" customFormat="false" ht="18" hidden="false" customHeight="true" outlineLevel="0" collapsed="false">
      <c r="A20" s="2" t="n">
        <v>19</v>
      </c>
      <c r="B20" s="3" t="s">
        <v>46</v>
      </c>
      <c r="C20" s="3" t="s">
        <v>14</v>
      </c>
      <c r="D20" s="2" t="s">
        <v>47</v>
      </c>
      <c r="E20" s="4" t="n">
        <v>32200</v>
      </c>
      <c r="F20" s="2" t="n">
        <v>49</v>
      </c>
      <c r="G20" s="4" t="n">
        <f aca="false">E20*F20</f>
        <v>1577800</v>
      </c>
    </row>
    <row r="21" customFormat="false" ht="18" hidden="false" customHeight="true" outlineLevel="0" collapsed="false">
      <c r="A21" s="5" t="n">
        <v>20</v>
      </c>
      <c r="B21" s="6" t="s">
        <v>48</v>
      </c>
      <c r="C21" s="6" t="s">
        <v>23</v>
      </c>
      <c r="D21" s="5" t="s">
        <v>33</v>
      </c>
      <c r="E21" s="7" t="n">
        <v>38100</v>
      </c>
      <c r="F21" s="5" t="n">
        <v>42</v>
      </c>
      <c r="G21" s="7" t="n">
        <f aca="false">E21*F21</f>
        <v>1600200</v>
      </c>
    </row>
    <row r="22" customFormat="false" ht="18" hidden="false" customHeight="true" outlineLevel="0" collapsed="false">
      <c r="A22" s="2" t="n">
        <v>21</v>
      </c>
      <c r="B22" s="3" t="s">
        <v>49</v>
      </c>
      <c r="C22" s="3" t="s">
        <v>50</v>
      </c>
      <c r="D22" s="2" t="s">
        <v>47</v>
      </c>
      <c r="E22" s="4" t="n">
        <v>101300</v>
      </c>
      <c r="F22" s="2" t="n">
        <v>41</v>
      </c>
      <c r="G22" s="4" t="n">
        <f aca="false">E22*F22</f>
        <v>4153300</v>
      </c>
    </row>
    <row r="23" customFormat="false" ht="18" hidden="false" customHeight="true" outlineLevel="0" collapsed="false">
      <c r="A23" s="5" t="n">
        <v>22</v>
      </c>
      <c r="B23" s="6" t="s">
        <v>51</v>
      </c>
      <c r="C23" s="6" t="s">
        <v>41</v>
      </c>
      <c r="D23" s="5" t="s">
        <v>42</v>
      </c>
      <c r="E23" s="7" t="n">
        <v>21900</v>
      </c>
      <c r="F23" s="5" t="n">
        <v>73</v>
      </c>
      <c r="G23" s="7" t="n">
        <f aca="false">E23*F23</f>
        <v>1598700</v>
      </c>
    </row>
    <row r="24" customFormat="false" ht="18" hidden="false" customHeight="true" outlineLevel="0" collapsed="false">
      <c r="A24" s="2" t="n">
        <v>23</v>
      </c>
      <c r="B24" s="3" t="s">
        <v>52</v>
      </c>
      <c r="C24" s="3" t="s">
        <v>28</v>
      </c>
      <c r="D24" s="2" t="s">
        <v>47</v>
      </c>
      <c r="E24" s="4" t="n">
        <v>83800</v>
      </c>
      <c r="F24" s="2" t="n">
        <v>51</v>
      </c>
      <c r="G24" s="4" t="n">
        <f aca="false">E24*F24</f>
        <v>4273800</v>
      </c>
    </row>
    <row r="25" customFormat="false" ht="18" hidden="false" customHeight="true" outlineLevel="0" collapsed="false">
      <c r="A25" s="5" t="n">
        <v>24</v>
      </c>
      <c r="B25" s="6" t="s">
        <v>53</v>
      </c>
      <c r="C25" s="6" t="s">
        <v>32</v>
      </c>
      <c r="D25" s="5" t="s">
        <v>12</v>
      </c>
      <c r="E25" s="7" t="n">
        <v>42800</v>
      </c>
      <c r="F25" s="5" t="n">
        <v>32</v>
      </c>
      <c r="G25" s="7" t="n">
        <f aca="false">E25*F25</f>
        <v>1369600</v>
      </c>
    </row>
    <row r="26" customFormat="false" ht="18" hidden="false" customHeight="true" outlineLevel="0" collapsed="false">
      <c r="A26" s="2" t="n">
        <v>25</v>
      </c>
      <c r="B26" s="3" t="s">
        <v>54</v>
      </c>
      <c r="C26" s="3" t="s">
        <v>14</v>
      </c>
      <c r="D26" s="2" t="s">
        <v>33</v>
      </c>
      <c r="E26" s="4" t="n">
        <v>42600</v>
      </c>
      <c r="F26" s="2" t="n">
        <v>75</v>
      </c>
      <c r="G26" s="4" t="n">
        <f aca="false">E26*F26</f>
        <v>3195000</v>
      </c>
    </row>
    <row r="27" customFormat="false" ht="18" hidden="false" customHeight="true" outlineLevel="0" collapsed="false">
      <c r="A27" s="5" t="n">
        <v>26</v>
      </c>
      <c r="B27" s="6" t="s">
        <v>55</v>
      </c>
      <c r="C27" s="6" t="s">
        <v>25</v>
      </c>
      <c r="D27" s="5" t="s">
        <v>56</v>
      </c>
      <c r="E27" s="7" t="n">
        <v>56900</v>
      </c>
      <c r="F27" s="5" t="n">
        <v>29</v>
      </c>
      <c r="G27" s="7" t="n">
        <f aca="false">E27*F27</f>
        <v>1650100</v>
      </c>
    </row>
    <row r="28" customFormat="false" ht="18" hidden="false" customHeight="true" outlineLevel="0" collapsed="false">
      <c r="A28" s="2" t="n">
        <v>27</v>
      </c>
      <c r="B28" s="3" t="s">
        <v>57</v>
      </c>
      <c r="C28" s="3" t="s">
        <v>58</v>
      </c>
      <c r="D28" s="2" t="s">
        <v>33</v>
      </c>
      <c r="E28" s="4" t="n">
        <v>66800</v>
      </c>
      <c r="F28" s="2" t="n">
        <v>97</v>
      </c>
      <c r="G28" s="4" t="n">
        <f aca="false">E28*F28</f>
        <v>6479600</v>
      </c>
    </row>
    <row r="29" customFormat="false" ht="18" hidden="false" customHeight="true" outlineLevel="0" collapsed="false">
      <c r="A29" s="5" t="n">
        <v>28</v>
      </c>
      <c r="B29" s="6" t="s">
        <v>59</v>
      </c>
      <c r="C29" s="6" t="s">
        <v>50</v>
      </c>
      <c r="D29" s="5" t="s">
        <v>15</v>
      </c>
      <c r="E29" s="7" t="n">
        <v>31000</v>
      </c>
      <c r="F29" s="5" t="n">
        <v>21</v>
      </c>
      <c r="G29" s="7" t="n">
        <f aca="false">E29*F29</f>
        <v>651000</v>
      </c>
    </row>
    <row r="30" customFormat="false" ht="18" hidden="false" customHeight="true" outlineLevel="0" collapsed="false">
      <c r="A30" s="2" t="n">
        <v>29</v>
      </c>
      <c r="B30" s="3" t="s">
        <v>60</v>
      </c>
      <c r="C30" s="3" t="s">
        <v>25</v>
      </c>
      <c r="D30" s="2" t="s">
        <v>56</v>
      </c>
      <c r="E30" s="4" t="n">
        <v>21700</v>
      </c>
      <c r="F30" s="2" t="n">
        <v>49</v>
      </c>
      <c r="G30" s="4" t="n">
        <f aca="false">E30*F30</f>
        <v>1063300</v>
      </c>
    </row>
    <row r="31" customFormat="false" ht="18" hidden="false" customHeight="true" outlineLevel="0" collapsed="false">
      <c r="A31" s="5" t="n">
        <v>30</v>
      </c>
      <c r="B31" s="6" t="s">
        <v>61</v>
      </c>
      <c r="C31" s="6" t="s">
        <v>19</v>
      </c>
      <c r="D31" s="5" t="s">
        <v>62</v>
      </c>
      <c r="E31" s="7" t="n">
        <v>70600</v>
      </c>
      <c r="F31" s="5" t="n">
        <v>71</v>
      </c>
      <c r="G31" s="7" t="n">
        <f aca="false">E31*F31</f>
        <v>5012600</v>
      </c>
    </row>
    <row r="32" customFormat="false" ht="18" hidden="false" customHeight="true" outlineLevel="0" collapsed="false">
      <c r="A32" s="2" t="n">
        <v>31</v>
      </c>
      <c r="B32" s="3" t="s">
        <v>63</v>
      </c>
      <c r="C32" s="3" t="s">
        <v>17</v>
      </c>
      <c r="D32" s="2" t="s">
        <v>15</v>
      </c>
      <c r="E32" s="4" t="n">
        <v>86600</v>
      </c>
      <c r="F32" s="2" t="n">
        <v>69</v>
      </c>
      <c r="G32" s="4" t="n">
        <f aca="false">E32*F32</f>
        <v>5975400</v>
      </c>
    </row>
    <row r="33" customFormat="false" ht="18" hidden="false" customHeight="true" outlineLevel="0" collapsed="false">
      <c r="A33" s="5" t="n">
        <v>32</v>
      </c>
      <c r="B33" s="6" t="s">
        <v>64</v>
      </c>
      <c r="C33" s="6" t="s">
        <v>23</v>
      </c>
      <c r="D33" s="5" t="s">
        <v>26</v>
      </c>
      <c r="E33" s="7" t="n">
        <v>26700</v>
      </c>
      <c r="F33" s="5" t="n">
        <v>56</v>
      </c>
      <c r="G33" s="7" t="n">
        <f aca="false">E33*F33</f>
        <v>1495200</v>
      </c>
    </row>
    <row r="34" customFormat="false" ht="18" hidden="false" customHeight="true" outlineLevel="0" collapsed="false">
      <c r="A34" s="2" t="n">
        <v>33</v>
      </c>
      <c r="B34" s="3" t="s">
        <v>65</v>
      </c>
      <c r="C34" s="3" t="s">
        <v>44</v>
      </c>
      <c r="D34" s="2" t="s">
        <v>62</v>
      </c>
      <c r="E34" s="4" t="n">
        <v>15300</v>
      </c>
      <c r="F34" s="2" t="n">
        <v>93</v>
      </c>
      <c r="G34" s="4" t="n">
        <f aca="false">E34*F34</f>
        <v>1422900</v>
      </c>
    </row>
    <row r="35" customFormat="false" ht="18" hidden="false" customHeight="true" outlineLevel="0" collapsed="false">
      <c r="A35" s="5" t="n">
        <v>34</v>
      </c>
      <c r="B35" s="6" t="s">
        <v>66</v>
      </c>
      <c r="C35" s="6" t="s">
        <v>23</v>
      </c>
      <c r="D35" s="5" t="s">
        <v>33</v>
      </c>
      <c r="E35" s="7" t="n">
        <v>95000</v>
      </c>
      <c r="F35" s="5" t="n">
        <v>65</v>
      </c>
      <c r="G35" s="7" t="n">
        <f aca="false">E35*F35</f>
        <v>6175000</v>
      </c>
    </row>
    <row r="36" customFormat="false" ht="18" hidden="false" customHeight="true" outlineLevel="0" collapsed="false">
      <c r="A36" s="2" t="n">
        <v>35</v>
      </c>
      <c r="B36" s="3" t="s">
        <v>67</v>
      </c>
      <c r="C36" s="3" t="s">
        <v>8</v>
      </c>
      <c r="D36" s="2" t="s">
        <v>42</v>
      </c>
      <c r="E36" s="4" t="n">
        <v>103400</v>
      </c>
      <c r="F36" s="2" t="n">
        <v>65</v>
      </c>
      <c r="G36" s="4" t="n">
        <f aca="false">E36*F36</f>
        <v>6721000</v>
      </c>
    </row>
    <row r="37" customFormat="false" ht="18" hidden="false" customHeight="true" outlineLevel="0" collapsed="false">
      <c r="A37" s="5" t="n">
        <v>36</v>
      </c>
      <c r="B37" s="6" t="s">
        <v>68</v>
      </c>
      <c r="C37" s="6" t="s">
        <v>19</v>
      </c>
      <c r="D37" s="5" t="s">
        <v>47</v>
      </c>
      <c r="E37" s="7" t="n">
        <v>31000</v>
      </c>
      <c r="F37" s="5" t="n">
        <v>98</v>
      </c>
      <c r="G37" s="7" t="n">
        <f aca="false">E37*F37</f>
        <v>3038000</v>
      </c>
    </row>
    <row r="38" customFormat="false" ht="18" hidden="false" customHeight="true" outlineLevel="0" collapsed="false">
      <c r="A38" s="2" t="n">
        <v>37</v>
      </c>
      <c r="B38" s="3" t="s">
        <v>69</v>
      </c>
      <c r="C38" s="3" t="s">
        <v>44</v>
      </c>
      <c r="D38" s="2" t="s">
        <v>33</v>
      </c>
      <c r="E38" s="4" t="n">
        <v>115100</v>
      </c>
      <c r="F38" s="2" t="n">
        <v>68</v>
      </c>
      <c r="G38" s="4" t="n">
        <f aca="false">E38*F38</f>
        <v>7826800</v>
      </c>
    </row>
    <row r="39" customFormat="false" ht="18" hidden="false" customHeight="true" outlineLevel="0" collapsed="false">
      <c r="A39" s="5" t="n">
        <v>38</v>
      </c>
      <c r="B39" s="6" t="s">
        <v>70</v>
      </c>
      <c r="C39" s="6" t="s">
        <v>17</v>
      </c>
      <c r="D39" s="5" t="s">
        <v>56</v>
      </c>
      <c r="E39" s="7" t="n">
        <v>49000</v>
      </c>
      <c r="F39" s="5" t="n">
        <v>3</v>
      </c>
      <c r="G39" s="7" t="n">
        <f aca="false">E39*F39</f>
        <v>147000</v>
      </c>
    </row>
    <row r="40" customFormat="false" ht="18" hidden="false" customHeight="true" outlineLevel="0" collapsed="false">
      <c r="A40" s="2" t="n">
        <v>39</v>
      </c>
      <c r="B40" s="3" t="s">
        <v>71</v>
      </c>
      <c r="C40" s="3" t="s">
        <v>8</v>
      </c>
      <c r="D40" s="2" t="s">
        <v>26</v>
      </c>
      <c r="E40" s="4" t="n">
        <v>107300</v>
      </c>
      <c r="F40" s="2" t="n">
        <v>40</v>
      </c>
      <c r="G40" s="4" t="n">
        <f aca="false">E40*F40</f>
        <v>4292000</v>
      </c>
    </row>
    <row r="41" customFormat="false" ht="18" hidden="false" customHeight="true" outlineLevel="0" collapsed="false">
      <c r="A41" s="5" t="n">
        <v>40</v>
      </c>
      <c r="B41" s="6" t="s">
        <v>72</v>
      </c>
      <c r="C41" s="6" t="s">
        <v>11</v>
      </c>
      <c r="D41" s="5" t="s">
        <v>9</v>
      </c>
      <c r="E41" s="7" t="n">
        <v>40300</v>
      </c>
      <c r="F41" s="5" t="n">
        <v>73</v>
      </c>
      <c r="G41" s="7" t="n">
        <f aca="false">E41*F41</f>
        <v>2941900</v>
      </c>
    </row>
    <row r="42" customFormat="false" ht="18" hidden="false" customHeight="true" outlineLevel="0" collapsed="false">
      <c r="A42" s="2" t="n">
        <v>41</v>
      </c>
      <c r="B42" s="3" t="s">
        <v>73</v>
      </c>
      <c r="C42" s="3" t="s">
        <v>35</v>
      </c>
      <c r="D42" s="2" t="s">
        <v>15</v>
      </c>
      <c r="E42" s="4" t="n">
        <v>91900</v>
      </c>
      <c r="F42" s="2" t="n">
        <v>9</v>
      </c>
      <c r="G42" s="4" t="n">
        <f aca="false">E42*F42</f>
        <v>827100</v>
      </c>
    </row>
    <row r="43" customFormat="false" ht="18" hidden="false" customHeight="true" outlineLevel="0" collapsed="false">
      <c r="A43" s="5" t="n">
        <v>42</v>
      </c>
      <c r="B43" s="6" t="s">
        <v>74</v>
      </c>
      <c r="C43" s="6" t="s">
        <v>14</v>
      </c>
      <c r="D43" s="5" t="s">
        <v>12</v>
      </c>
      <c r="E43" s="7" t="n">
        <v>28500</v>
      </c>
      <c r="F43" s="5" t="n">
        <v>61</v>
      </c>
      <c r="G43" s="7" t="n">
        <f aca="false">E43*F43</f>
        <v>1738500</v>
      </c>
    </row>
    <row r="44" customFormat="false" ht="18" hidden="false" customHeight="true" outlineLevel="0" collapsed="false">
      <c r="A44" s="2" t="n">
        <v>43</v>
      </c>
      <c r="B44" s="3" t="s">
        <v>75</v>
      </c>
      <c r="C44" s="3" t="s">
        <v>14</v>
      </c>
      <c r="D44" s="2" t="s">
        <v>12</v>
      </c>
      <c r="E44" s="4" t="n">
        <v>42800</v>
      </c>
      <c r="F44" s="2" t="n">
        <v>78</v>
      </c>
      <c r="G44" s="4" t="n">
        <f aca="false">E44*F44</f>
        <v>3338400</v>
      </c>
    </row>
    <row r="45" customFormat="false" ht="18" hidden="false" customHeight="true" outlineLevel="0" collapsed="false">
      <c r="A45" s="5" t="n">
        <v>44</v>
      </c>
      <c r="B45" s="6" t="s">
        <v>76</v>
      </c>
      <c r="C45" s="6" t="s">
        <v>25</v>
      </c>
      <c r="D45" s="5" t="s">
        <v>47</v>
      </c>
      <c r="E45" s="7" t="n">
        <v>112500</v>
      </c>
      <c r="F45" s="5" t="n">
        <v>97</v>
      </c>
      <c r="G45" s="7" t="n">
        <f aca="false">E45*F45</f>
        <v>10912500</v>
      </c>
    </row>
    <row r="46" customFormat="false" ht="18" hidden="false" customHeight="true" outlineLevel="0" collapsed="false">
      <c r="A46" s="2" t="n">
        <v>45</v>
      </c>
      <c r="B46" s="3" t="s">
        <v>77</v>
      </c>
      <c r="C46" s="3" t="s">
        <v>78</v>
      </c>
      <c r="D46" s="2" t="s">
        <v>42</v>
      </c>
      <c r="E46" s="4" t="n">
        <v>56900</v>
      </c>
      <c r="F46" s="2" t="n">
        <v>86</v>
      </c>
      <c r="G46" s="4" t="n">
        <f aca="false">E46*F46</f>
        <v>4893400</v>
      </c>
    </row>
    <row r="47" customFormat="false" ht="18" hidden="false" customHeight="true" outlineLevel="0" collapsed="false">
      <c r="A47" s="5" t="n">
        <v>46</v>
      </c>
      <c r="B47" s="6" t="s">
        <v>79</v>
      </c>
      <c r="C47" s="6" t="s">
        <v>30</v>
      </c>
      <c r="D47" s="5" t="s">
        <v>62</v>
      </c>
      <c r="E47" s="7" t="n">
        <v>109500</v>
      </c>
      <c r="F47" s="5" t="n">
        <v>58</v>
      </c>
      <c r="G47" s="7" t="n">
        <f aca="false">E47*F47</f>
        <v>6351000</v>
      </c>
    </row>
    <row r="48" customFormat="false" ht="18" hidden="false" customHeight="true" outlineLevel="0" collapsed="false">
      <c r="A48" s="2" t="n">
        <v>47</v>
      </c>
      <c r="B48" s="3" t="s">
        <v>80</v>
      </c>
      <c r="C48" s="3" t="s">
        <v>8</v>
      </c>
      <c r="D48" s="2" t="s">
        <v>47</v>
      </c>
      <c r="E48" s="4" t="n">
        <v>38600</v>
      </c>
      <c r="F48" s="2" t="n">
        <v>44</v>
      </c>
      <c r="G48" s="4" t="n">
        <f aca="false">E48*F48</f>
        <v>1698400</v>
      </c>
    </row>
    <row r="49" customFormat="false" ht="18" hidden="false" customHeight="true" outlineLevel="0" collapsed="false">
      <c r="A49" s="5" t="n">
        <v>48</v>
      </c>
      <c r="B49" s="6" t="s">
        <v>81</v>
      </c>
      <c r="C49" s="6" t="s">
        <v>17</v>
      </c>
      <c r="D49" s="5" t="s">
        <v>56</v>
      </c>
      <c r="E49" s="7" t="n">
        <v>73200</v>
      </c>
      <c r="F49" s="5" t="n">
        <v>76</v>
      </c>
      <c r="G49" s="7" t="n">
        <f aca="false">E49*F49</f>
        <v>5563200</v>
      </c>
    </row>
    <row r="50" customFormat="false" ht="18" hidden="false" customHeight="true" outlineLevel="0" collapsed="false">
      <c r="A50" s="2" t="n">
        <v>49</v>
      </c>
      <c r="B50" s="3" t="s">
        <v>82</v>
      </c>
      <c r="C50" s="3" t="s">
        <v>11</v>
      </c>
      <c r="D50" s="2" t="s">
        <v>9</v>
      </c>
      <c r="E50" s="4" t="n">
        <v>22500</v>
      </c>
      <c r="F50" s="2" t="n">
        <v>81</v>
      </c>
      <c r="G50" s="4" t="n">
        <f aca="false">E50*F50</f>
        <v>1822500</v>
      </c>
    </row>
    <row r="51" customFormat="false" ht="18" hidden="false" customHeight="true" outlineLevel="0" collapsed="false">
      <c r="A51" s="5" t="n">
        <v>50</v>
      </c>
      <c r="B51" s="6" t="s">
        <v>83</v>
      </c>
      <c r="C51" s="6" t="s">
        <v>50</v>
      </c>
      <c r="D51" s="5" t="s">
        <v>47</v>
      </c>
      <c r="E51" s="7" t="n">
        <v>22100</v>
      </c>
      <c r="F51" s="5" t="n">
        <v>5</v>
      </c>
      <c r="G51" s="7" t="n">
        <f aca="false">E51*F51</f>
        <v>110500</v>
      </c>
    </row>
    <row r="52" customFormat="false" ht="21.75" hidden="false" customHeight="true" outlineLevel="0" collapsed="false">
      <c r="A52" s="8" t="s">
        <v>84</v>
      </c>
      <c r="B52" s="8"/>
      <c r="C52" s="8"/>
      <c r="D52" s="8"/>
      <c r="E52" s="8"/>
      <c r="F52" s="9" t="n">
        <f aca="false">SUM(F2:F51)</f>
        <v>2768</v>
      </c>
      <c r="G52" s="9" t="n">
        <f aca="false">SUM(G2:G51)</f>
        <v>168348100</v>
      </c>
    </row>
  </sheetData>
  <autoFilter ref="A1:G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7" min="4" style="0" width="14"/>
  </cols>
  <sheetData>
    <row r="1" customFormat="false" ht="34.5" hidden="false" customHeight="true" outlineLevel="0" collapsed="false">
      <c r="A1" s="10" t="s">
        <v>85</v>
      </c>
      <c r="B1" s="10"/>
      <c r="C1" s="10"/>
      <c r="D1" s="10"/>
      <c r="E1" s="10"/>
      <c r="F1" s="10"/>
      <c r="G1" s="10"/>
    </row>
    <row r="3" customFormat="false" ht="24" hidden="false" customHeight="true" outlineLevel="0" collapsed="false">
      <c r="A3" s="11" t="s">
        <v>86</v>
      </c>
      <c r="B3" s="11"/>
      <c r="C3" s="12" t="n">
        <v>1</v>
      </c>
    </row>
    <row r="5" customFormat="false" ht="21.75" hidden="false" customHeight="true" outlineLevel="0" collapsed="false">
      <c r="A5" s="13" t="s">
        <v>87</v>
      </c>
      <c r="B5" s="13"/>
      <c r="C5" s="14" t="n">
        <f aca="false">IF(ISNUMBER(C3),IFERROR(VLOOKUP(C3,'Kitob Katalogi'!A:G,1,0),"Topilmadi"),"—")</f>
        <v>1</v>
      </c>
    </row>
    <row r="6" customFormat="false" ht="21.75" hidden="false" customHeight="true" outlineLevel="0" collapsed="false">
      <c r="A6" s="13" t="s">
        <v>1</v>
      </c>
      <c r="B6" s="13"/>
      <c r="C6" s="14" t="str">
        <f aca="false">IF(ISNUMBER(C3),IFERROR(VLOOKUP(C3,'Kitob Katalogi'!A:G,2,0),"Topilmadi"),"—")</f>
        <v>O'tkan kunlar</v>
      </c>
    </row>
    <row r="7" customFormat="false" ht="21.75" hidden="false" customHeight="true" outlineLevel="0" collapsed="false">
      <c r="A7" s="13" t="s">
        <v>2</v>
      </c>
      <c r="B7" s="13"/>
      <c r="C7" s="14" t="str">
        <f aca="false">IF(ISNUMBER(C3),IFERROR(VLOOKUP(C3,'Kitob Katalogi'!A:G,3,0),"Topilmadi"),"—")</f>
        <v>G'afur G'ulom</v>
      </c>
    </row>
    <row r="8" customFormat="false" ht="21.75" hidden="false" customHeight="true" outlineLevel="0" collapsed="false">
      <c r="A8" s="13" t="s">
        <v>3</v>
      </c>
      <c r="B8" s="13"/>
      <c r="C8" s="14" t="str">
        <f aca="false">IF(ISNUMBER(C3),IFERROR(VLOOKUP(C3,'Kitob Katalogi'!A:G,4,0),"Topilmadi"),"—")</f>
        <v>Roman</v>
      </c>
    </row>
    <row r="9" customFormat="false" ht="21.75" hidden="false" customHeight="true" outlineLevel="0" collapsed="false">
      <c r="A9" s="13" t="s">
        <v>4</v>
      </c>
      <c r="B9" s="13"/>
      <c r="C9" s="15" t="n">
        <f aca="false">IF(ISNUMBER(C3),IFERROR(VLOOKUP(C3,'Kitob Katalogi'!A:G,5,0),"Topilmadi"),"—")</f>
        <v>92900</v>
      </c>
    </row>
    <row r="10" customFormat="false" ht="21.75" hidden="false" customHeight="true" outlineLevel="0" collapsed="false">
      <c r="A10" s="13" t="s">
        <v>5</v>
      </c>
      <c r="B10" s="13"/>
      <c r="C10" s="14" t="n">
        <f aca="false">IF(ISNUMBER(C3),IFERROR(VLOOKUP(C3,'Kitob Katalogi'!A:G,6,0),"Topilmadi"),"—")</f>
        <v>32</v>
      </c>
    </row>
    <row r="11" customFormat="false" ht="21.75" hidden="false" customHeight="true" outlineLevel="0" collapsed="false">
      <c r="A11" s="13" t="s">
        <v>88</v>
      </c>
      <c r="B11" s="13"/>
      <c r="C11" s="15" t="n">
        <f aca="false">IF(ISNUMBER(C3),IFERROR(VLOOKUP(C3,'Kitob Katalogi'!A:G,7,0),"Topilmadi"),"—")</f>
        <v>2972800</v>
      </c>
    </row>
  </sheetData>
  <mergeCells count="9">
    <mergeCell ref="A1:G1"/>
    <mergeCell ref="A3:B3"/>
    <mergeCell ref="A5:B5"/>
    <mergeCell ref="A6:B6"/>
    <mergeCell ref="A7:B7"/>
    <mergeCell ref="A8:B8"/>
    <mergeCell ref="A9:B9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6" t="s">
        <v>89</v>
      </c>
      <c r="B1" s="16"/>
      <c r="C1" s="16"/>
      <c r="D1" s="16"/>
      <c r="E1" s="16"/>
      <c r="F1" s="16"/>
      <c r="G1" s="16"/>
    </row>
    <row r="2" customFormat="false" ht="24" hidden="false" customHeight="true" outlineLevel="0" collapsed="false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</row>
    <row r="3" customFormat="false" ht="18" hidden="false" customHeight="true" outlineLevel="0" collapsed="false">
      <c r="A3" s="5" t="n">
        <v>33</v>
      </c>
      <c r="B3" s="6" t="s">
        <v>65</v>
      </c>
      <c r="C3" s="6" t="s">
        <v>44</v>
      </c>
      <c r="D3" s="5" t="s">
        <v>62</v>
      </c>
      <c r="E3" s="18" t="n">
        <v>15300</v>
      </c>
      <c r="F3" s="5" t="n">
        <v>93</v>
      </c>
      <c r="G3" s="18" t="n">
        <f aca="false">E3*F3</f>
        <v>1422900</v>
      </c>
    </row>
    <row r="4" customFormat="false" ht="18" hidden="false" customHeight="true" outlineLevel="0" collapsed="false">
      <c r="A4" s="2" t="n">
        <v>29</v>
      </c>
      <c r="B4" s="3" t="s">
        <v>60</v>
      </c>
      <c r="C4" s="3" t="s">
        <v>25</v>
      </c>
      <c r="D4" s="2" t="s">
        <v>56</v>
      </c>
      <c r="E4" s="19" t="n">
        <v>21700</v>
      </c>
      <c r="F4" s="2" t="n">
        <v>49</v>
      </c>
      <c r="G4" s="19" t="n">
        <f aca="false">E4*F4</f>
        <v>1063300</v>
      </c>
    </row>
    <row r="5" customFormat="false" ht="18" hidden="false" customHeight="true" outlineLevel="0" collapsed="false">
      <c r="A5" s="5" t="n">
        <v>22</v>
      </c>
      <c r="B5" s="6" t="s">
        <v>51</v>
      </c>
      <c r="C5" s="6" t="s">
        <v>41</v>
      </c>
      <c r="D5" s="5" t="s">
        <v>42</v>
      </c>
      <c r="E5" s="18" t="n">
        <v>21900</v>
      </c>
      <c r="F5" s="5" t="n">
        <v>73</v>
      </c>
      <c r="G5" s="18" t="n">
        <f aca="false">E5*F5</f>
        <v>1598700</v>
      </c>
    </row>
    <row r="6" customFormat="false" ht="18" hidden="false" customHeight="true" outlineLevel="0" collapsed="false">
      <c r="A6" s="2" t="n">
        <v>50</v>
      </c>
      <c r="B6" s="3" t="s">
        <v>83</v>
      </c>
      <c r="C6" s="3" t="s">
        <v>50</v>
      </c>
      <c r="D6" s="2" t="s">
        <v>47</v>
      </c>
      <c r="E6" s="19" t="n">
        <v>22100</v>
      </c>
      <c r="F6" s="2" t="n">
        <v>5</v>
      </c>
      <c r="G6" s="19" t="n">
        <f aca="false">E6*F6</f>
        <v>110500</v>
      </c>
    </row>
    <row r="7" customFormat="false" ht="18" hidden="false" customHeight="true" outlineLevel="0" collapsed="false">
      <c r="A7" s="5" t="n">
        <v>49</v>
      </c>
      <c r="B7" s="6" t="s">
        <v>82</v>
      </c>
      <c r="C7" s="6" t="s">
        <v>11</v>
      </c>
      <c r="D7" s="5" t="s">
        <v>9</v>
      </c>
      <c r="E7" s="18" t="n">
        <v>22500</v>
      </c>
      <c r="F7" s="5" t="n">
        <v>81</v>
      </c>
      <c r="G7" s="18" t="n">
        <f aca="false">E7*F7</f>
        <v>1822500</v>
      </c>
    </row>
    <row r="8" customFormat="false" ht="18" hidden="false" customHeight="true" outlineLevel="0" collapsed="false">
      <c r="A8" s="2" t="n">
        <v>9</v>
      </c>
      <c r="B8" s="3" t="s">
        <v>27</v>
      </c>
      <c r="C8" s="3" t="s">
        <v>28</v>
      </c>
      <c r="D8" s="2" t="s">
        <v>15</v>
      </c>
      <c r="E8" s="19" t="n">
        <v>24700</v>
      </c>
      <c r="F8" s="2" t="n">
        <v>13</v>
      </c>
      <c r="G8" s="19" t="n">
        <f aca="false">E8*F8</f>
        <v>321100</v>
      </c>
    </row>
    <row r="9" customFormat="false" ht="18" hidden="false" customHeight="true" outlineLevel="0" collapsed="false">
      <c r="A9" s="5" t="n">
        <v>32</v>
      </c>
      <c r="B9" s="6" t="s">
        <v>64</v>
      </c>
      <c r="C9" s="6" t="s">
        <v>23</v>
      </c>
      <c r="D9" s="5" t="s">
        <v>26</v>
      </c>
      <c r="E9" s="18" t="n">
        <v>26700</v>
      </c>
      <c r="F9" s="5" t="n">
        <v>56</v>
      </c>
      <c r="G9" s="18" t="n">
        <f aca="false">E9*F9</f>
        <v>1495200</v>
      </c>
    </row>
    <row r="10" customFormat="false" ht="18" hidden="false" customHeight="true" outlineLevel="0" collapsed="false">
      <c r="A10" s="2" t="n">
        <v>11</v>
      </c>
      <c r="B10" s="3" t="s">
        <v>31</v>
      </c>
      <c r="C10" s="3" t="s">
        <v>32</v>
      </c>
      <c r="D10" s="2" t="s">
        <v>33</v>
      </c>
      <c r="E10" s="19" t="n">
        <v>28100</v>
      </c>
      <c r="F10" s="2" t="n">
        <v>49</v>
      </c>
      <c r="G10" s="19" t="n">
        <f aca="false">E10*F10</f>
        <v>1376900</v>
      </c>
    </row>
    <row r="11" customFormat="false" ht="18" hidden="false" customHeight="true" outlineLevel="0" collapsed="false">
      <c r="A11" s="5" t="n">
        <v>42</v>
      </c>
      <c r="B11" s="6" t="s">
        <v>74</v>
      </c>
      <c r="C11" s="6" t="s">
        <v>14</v>
      </c>
      <c r="D11" s="5" t="s">
        <v>12</v>
      </c>
      <c r="E11" s="18" t="n">
        <v>28500</v>
      </c>
      <c r="F11" s="5" t="n">
        <v>61</v>
      </c>
      <c r="G11" s="18" t="n">
        <f aca="false">E11*F11</f>
        <v>1738500</v>
      </c>
    </row>
    <row r="12" customFormat="false" ht="18" hidden="false" customHeight="true" outlineLevel="0" collapsed="false">
      <c r="A12" s="2" t="n">
        <v>28</v>
      </c>
      <c r="B12" s="3" t="s">
        <v>59</v>
      </c>
      <c r="C12" s="3" t="s">
        <v>50</v>
      </c>
      <c r="D12" s="2" t="s">
        <v>15</v>
      </c>
      <c r="E12" s="19" t="n">
        <v>31000</v>
      </c>
      <c r="F12" s="2" t="n">
        <v>21</v>
      </c>
      <c r="G12" s="19" t="n">
        <f aca="false">E12*F12</f>
        <v>651000</v>
      </c>
    </row>
    <row r="13" customFormat="false" ht="18" hidden="false" customHeight="true" outlineLevel="0" collapsed="false">
      <c r="A13" s="5" t="n">
        <v>36</v>
      </c>
      <c r="B13" s="6" t="s">
        <v>68</v>
      </c>
      <c r="C13" s="6" t="s">
        <v>19</v>
      </c>
      <c r="D13" s="5" t="s">
        <v>47</v>
      </c>
      <c r="E13" s="18" t="n">
        <v>31000</v>
      </c>
      <c r="F13" s="5" t="n">
        <v>98</v>
      </c>
      <c r="G13" s="18" t="n">
        <f aca="false">E13*F13</f>
        <v>3038000</v>
      </c>
    </row>
    <row r="14" customFormat="false" ht="18" hidden="false" customHeight="true" outlineLevel="0" collapsed="false">
      <c r="A14" s="2" t="n">
        <v>19</v>
      </c>
      <c r="B14" s="3" t="s">
        <v>46</v>
      </c>
      <c r="C14" s="3" t="s">
        <v>14</v>
      </c>
      <c r="D14" s="2" t="s">
        <v>47</v>
      </c>
      <c r="E14" s="19" t="n">
        <v>32200</v>
      </c>
      <c r="F14" s="2" t="n">
        <v>49</v>
      </c>
      <c r="G14" s="19" t="n">
        <f aca="false">E14*F14</f>
        <v>1577800</v>
      </c>
    </row>
    <row r="15" customFormat="false" ht="18" hidden="false" customHeight="true" outlineLevel="0" collapsed="false">
      <c r="A15" s="5" t="n">
        <v>4</v>
      </c>
      <c r="B15" s="6" t="s">
        <v>16</v>
      </c>
      <c r="C15" s="6" t="s">
        <v>17</v>
      </c>
      <c r="D15" s="5" t="s">
        <v>15</v>
      </c>
      <c r="E15" s="18" t="n">
        <v>38000</v>
      </c>
      <c r="F15" s="5" t="n">
        <v>65</v>
      </c>
      <c r="G15" s="18" t="n">
        <f aca="false">E15*F15</f>
        <v>2470000</v>
      </c>
    </row>
    <row r="16" customFormat="false" ht="18" hidden="false" customHeight="true" outlineLevel="0" collapsed="false">
      <c r="A16" s="2" t="n">
        <v>6</v>
      </c>
      <c r="B16" s="3" t="s">
        <v>20</v>
      </c>
      <c r="C16" s="3" t="s">
        <v>14</v>
      </c>
      <c r="D16" s="2" t="s">
        <v>21</v>
      </c>
      <c r="E16" s="19" t="n">
        <v>38100</v>
      </c>
      <c r="F16" s="2" t="n">
        <v>76</v>
      </c>
      <c r="G16" s="19" t="n">
        <f aca="false">E16*F16</f>
        <v>2895600</v>
      </c>
    </row>
    <row r="17" customFormat="false" ht="18" hidden="false" customHeight="true" outlineLevel="0" collapsed="false">
      <c r="A17" s="5" t="n">
        <v>20</v>
      </c>
      <c r="B17" s="6" t="s">
        <v>48</v>
      </c>
      <c r="C17" s="6" t="s">
        <v>23</v>
      </c>
      <c r="D17" s="5" t="s">
        <v>33</v>
      </c>
      <c r="E17" s="18" t="n">
        <v>38100</v>
      </c>
      <c r="F17" s="5" t="n">
        <v>42</v>
      </c>
      <c r="G17" s="18" t="n">
        <f aca="false">E17*F17</f>
        <v>1600200</v>
      </c>
    </row>
    <row r="18" customFormat="false" ht="18" hidden="false" customHeight="true" outlineLevel="0" collapsed="false">
      <c r="A18" s="2" t="n">
        <v>47</v>
      </c>
      <c r="B18" s="3" t="s">
        <v>80</v>
      </c>
      <c r="C18" s="3" t="s">
        <v>8</v>
      </c>
      <c r="D18" s="2" t="s">
        <v>47</v>
      </c>
      <c r="E18" s="19" t="n">
        <v>38600</v>
      </c>
      <c r="F18" s="2" t="n">
        <v>44</v>
      </c>
      <c r="G18" s="19" t="n">
        <f aca="false">E18*F18</f>
        <v>1698400</v>
      </c>
    </row>
    <row r="19" customFormat="false" ht="18" hidden="false" customHeight="true" outlineLevel="0" collapsed="false">
      <c r="A19" s="5" t="n">
        <v>40</v>
      </c>
      <c r="B19" s="6" t="s">
        <v>72</v>
      </c>
      <c r="C19" s="6" t="s">
        <v>11</v>
      </c>
      <c r="D19" s="5" t="s">
        <v>9</v>
      </c>
      <c r="E19" s="18" t="n">
        <v>40300</v>
      </c>
      <c r="F19" s="5" t="n">
        <v>73</v>
      </c>
      <c r="G19" s="18" t="n">
        <f aca="false">E19*F19</f>
        <v>2941900</v>
      </c>
    </row>
    <row r="20" customFormat="false" ht="18" hidden="false" customHeight="true" outlineLevel="0" collapsed="false">
      <c r="A20" s="2" t="n">
        <v>25</v>
      </c>
      <c r="B20" s="3" t="s">
        <v>54</v>
      </c>
      <c r="C20" s="3" t="s">
        <v>14</v>
      </c>
      <c r="D20" s="2" t="s">
        <v>33</v>
      </c>
      <c r="E20" s="19" t="n">
        <v>42600</v>
      </c>
      <c r="F20" s="2" t="n">
        <v>75</v>
      </c>
      <c r="G20" s="19" t="n">
        <f aca="false">E20*F20</f>
        <v>3195000</v>
      </c>
    </row>
    <row r="21" customFormat="false" ht="18" hidden="false" customHeight="true" outlineLevel="0" collapsed="false">
      <c r="A21" s="5" t="n">
        <v>24</v>
      </c>
      <c r="B21" s="6" t="s">
        <v>53</v>
      </c>
      <c r="C21" s="6" t="s">
        <v>32</v>
      </c>
      <c r="D21" s="5" t="s">
        <v>12</v>
      </c>
      <c r="E21" s="18" t="n">
        <v>42800</v>
      </c>
      <c r="F21" s="5" t="n">
        <v>32</v>
      </c>
      <c r="G21" s="18" t="n">
        <f aca="false">E21*F21</f>
        <v>1369600</v>
      </c>
    </row>
    <row r="22" customFormat="false" ht="18" hidden="false" customHeight="true" outlineLevel="0" collapsed="false">
      <c r="A22" s="2" t="n">
        <v>43</v>
      </c>
      <c r="B22" s="3" t="s">
        <v>75</v>
      </c>
      <c r="C22" s="3" t="s">
        <v>14</v>
      </c>
      <c r="D22" s="2" t="s">
        <v>12</v>
      </c>
      <c r="E22" s="19" t="n">
        <v>42800</v>
      </c>
      <c r="F22" s="2" t="n">
        <v>78</v>
      </c>
      <c r="G22" s="19" t="n">
        <f aca="false">E22*F22</f>
        <v>3338400</v>
      </c>
    </row>
    <row r="23" customFormat="false" ht="18" hidden="false" customHeight="true" outlineLevel="0" collapsed="false">
      <c r="A23" s="5" t="n">
        <v>8</v>
      </c>
      <c r="B23" s="6" t="s">
        <v>24</v>
      </c>
      <c r="C23" s="6" t="s">
        <v>25</v>
      </c>
      <c r="D23" s="5" t="s">
        <v>26</v>
      </c>
      <c r="E23" s="18" t="n">
        <v>44200</v>
      </c>
      <c r="F23" s="5" t="n">
        <v>28</v>
      </c>
      <c r="G23" s="18" t="n">
        <f aca="false">E23*F23</f>
        <v>1237600</v>
      </c>
    </row>
    <row r="24" customFormat="false" ht="18" hidden="false" customHeight="true" outlineLevel="0" collapsed="false">
      <c r="A24" s="2" t="n">
        <v>12</v>
      </c>
      <c r="B24" s="3" t="s">
        <v>34</v>
      </c>
      <c r="C24" s="3" t="s">
        <v>35</v>
      </c>
      <c r="D24" s="2" t="s">
        <v>33</v>
      </c>
      <c r="E24" s="19" t="n">
        <v>45800</v>
      </c>
      <c r="F24" s="2" t="n">
        <v>81</v>
      </c>
      <c r="G24" s="19" t="n">
        <f aca="false">E24*F24</f>
        <v>3709800</v>
      </c>
    </row>
    <row r="25" customFormat="false" ht="18" hidden="false" customHeight="true" outlineLevel="0" collapsed="false">
      <c r="A25" s="5" t="n">
        <v>38</v>
      </c>
      <c r="B25" s="6" t="s">
        <v>70</v>
      </c>
      <c r="C25" s="6" t="s">
        <v>17</v>
      </c>
      <c r="D25" s="5" t="s">
        <v>56</v>
      </c>
      <c r="E25" s="18" t="n">
        <v>49000</v>
      </c>
      <c r="F25" s="5" t="n">
        <v>3</v>
      </c>
      <c r="G25" s="18" t="n">
        <f aca="false">E25*F25</f>
        <v>147000</v>
      </c>
    </row>
    <row r="26" customFormat="false" ht="18" hidden="false" customHeight="true" outlineLevel="0" collapsed="false">
      <c r="A26" s="2" t="n">
        <v>17</v>
      </c>
      <c r="B26" s="3" t="s">
        <v>43</v>
      </c>
      <c r="C26" s="3" t="s">
        <v>44</v>
      </c>
      <c r="D26" s="2" t="s">
        <v>26</v>
      </c>
      <c r="E26" s="19" t="n">
        <v>52300</v>
      </c>
      <c r="F26" s="2" t="n">
        <v>86</v>
      </c>
      <c r="G26" s="19" t="n">
        <f aca="false">E26*F26</f>
        <v>4497800</v>
      </c>
    </row>
    <row r="27" customFormat="false" ht="18" hidden="false" customHeight="true" outlineLevel="0" collapsed="false">
      <c r="A27" s="5" t="n">
        <v>26</v>
      </c>
      <c r="B27" s="6" t="s">
        <v>55</v>
      </c>
      <c r="C27" s="6" t="s">
        <v>25</v>
      </c>
      <c r="D27" s="5" t="s">
        <v>56</v>
      </c>
      <c r="E27" s="18" t="n">
        <v>56900</v>
      </c>
      <c r="F27" s="5" t="n">
        <v>29</v>
      </c>
      <c r="G27" s="18" t="n">
        <f aca="false">E27*F27</f>
        <v>1650100</v>
      </c>
    </row>
    <row r="28" customFormat="false" ht="18" hidden="false" customHeight="true" outlineLevel="0" collapsed="false">
      <c r="A28" s="2" t="n">
        <v>45</v>
      </c>
      <c r="B28" s="3" t="s">
        <v>77</v>
      </c>
      <c r="C28" s="3" t="s">
        <v>78</v>
      </c>
      <c r="D28" s="2" t="s">
        <v>42</v>
      </c>
      <c r="E28" s="19" t="n">
        <v>56900</v>
      </c>
      <c r="F28" s="2" t="n">
        <v>86</v>
      </c>
      <c r="G28" s="19" t="n">
        <f aca="false">E28*F28</f>
        <v>4893400</v>
      </c>
    </row>
    <row r="29" customFormat="false" ht="18" hidden="false" customHeight="true" outlineLevel="0" collapsed="false">
      <c r="A29" s="5" t="n">
        <v>16</v>
      </c>
      <c r="B29" s="6" t="s">
        <v>40</v>
      </c>
      <c r="C29" s="6" t="s">
        <v>41</v>
      </c>
      <c r="D29" s="5" t="s">
        <v>42</v>
      </c>
      <c r="E29" s="18" t="n">
        <v>62600</v>
      </c>
      <c r="F29" s="5" t="n">
        <v>47</v>
      </c>
      <c r="G29" s="18" t="n">
        <f aca="false">E29*F29</f>
        <v>2942200</v>
      </c>
    </row>
    <row r="30" customFormat="false" ht="18" hidden="false" customHeight="true" outlineLevel="0" collapsed="false">
      <c r="A30" s="2" t="n">
        <v>27</v>
      </c>
      <c r="B30" s="3" t="s">
        <v>57</v>
      </c>
      <c r="C30" s="3" t="s">
        <v>58</v>
      </c>
      <c r="D30" s="2" t="s">
        <v>33</v>
      </c>
      <c r="E30" s="19" t="n">
        <v>66800</v>
      </c>
      <c r="F30" s="2" t="n">
        <v>97</v>
      </c>
      <c r="G30" s="19" t="n">
        <f aca="false">E30*F30</f>
        <v>6479600</v>
      </c>
    </row>
    <row r="31" customFormat="false" ht="18" hidden="false" customHeight="true" outlineLevel="0" collapsed="false">
      <c r="A31" s="5" t="n">
        <v>30</v>
      </c>
      <c r="B31" s="6" t="s">
        <v>61</v>
      </c>
      <c r="C31" s="6" t="s">
        <v>19</v>
      </c>
      <c r="D31" s="5" t="s">
        <v>62</v>
      </c>
      <c r="E31" s="18" t="n">
        <v>70600</v>
      </c>
      <c r="F31" s="5" t="n">
        <v>71</v>
      </c>
      <c r="G31" s="18" t="n">
        <f aca="false">E31*F31</f>
        <v>5012600</v>
      </c>
    </row>
    <row r="32" customFormat="false" ht="18" hidden="false" customHeight="true" outlineLevel="0" collapsed="false">
      <c r="A32" s="2" t="n">
        <v>48</v>
      </c>
      <c r="B32" s="3" t="s">
        <v>81</v>
      </c>
      <c r="C32" s="3" t="s">
        <v>17</v>
      </c>
      <c r="D32" s="2" t="s">
        <v>56</v>
      </c>
      <c r="E32" s="19" t="n">
        <v>73200</v>
      </c>
      <c r="F32" s="2" t="n">
        <v>76</v>
      </c>
      <c r="G32" s="19" t="n">
        <f aca="false">E32*F32</f>
        <v>5563200</v>
      </c>
    </row>
    <row r="33" customFormat="false" ht="18" hidden="false" customHeight="true" outlineLevel="0" collapsed="false">
      <c r="A33" s="5" t="n">
        <v>5</v>
      </c>
      <c r="B33" s="6" t="s">
        <v>18</v>
      </c>
      <c r="C33" s="6" t="s">
        <v>19</v>
      </c>
      <c r="D33" s="5" t="s">
        <v>9</v>
      </c>
      <c r="E33" s="18" t="n">
        <v>73900</v>
      </c>
      <c r="F33" s="5" t="n">
        <v>92</v>
      </c>
      <c r="G33" s="18" t="n">
        <f aca="false">E33*F33</f>
        <v>6798800</v>
      </c>
    </row>
    <row r="34" customFormat="false" ht="18" hidden="false" customHeight="true" outlineLevel="0" collapsed="false">
      <c r="A34" s="2" t="n">
        <v>13</v>
      </c>
      <c r="B34" s="3" t="s">
        <v>36</v>
      </c>
      <c r="C34" s="3" t="s">
        <v>19</v>
      </c>
      <c r="D34" s="2" t="s">
        <v>26</v>
      </c>
      <c r="E34" s="19" t="n">
        <v>75600</v>
      </c>
      <c r="F34" s="2" t="n">
        <v>91</v>
      </c>
      <c r="G34" s="19" t="n">
        <f aca="false">E34*F34</f>
        <v>6879600</v>
      </c>
    </row>
    <row r="35" customFormat="false" ht="18" hidden="false" customHeight="true" outlineLevel="0" collapsed="false">
      <c r="A35" s="5" t="n">
        <v>3</v>
      </c>
      <c r="B35" s="6" t="s">
        <v>13</v>
      </c>
      <c r="C35" s="6" t="s">
        <v>14</v>
      </c>
      <c r="D35" s="5" t="s">
        <v>15</v>
      </c>
      <c r="E35" s="18" t="n">
        <v>77000</v>
      </c>
      <c r="F35" s="5" t="n">
        <v>5</v>
      </c>
      <c r="G35" s="18" t="n">
        <f aca="false">E35*F35</f>
        <v>385000</v>
      </c>
    </row>
    <row r="36" customFormat="false" ht="18" hidden="false" customHeight="true" outlineLevel="0" collapsed="false">
      <c r="A36" s="2" t="n">
        <v>10</v>
      </c>
      <c r="B36" s="3" t="s">
        <v>29</v>
      </c>
      <c r="C36" s="3" t="s">
        <v>30</v>
      </c>
      <c r="D36" s="2" t="s">
        <v>26</v>
      </c>
      <c r="E36" s="19" t="n">
        <v>78400</v>
      </c>
      <c r="F36" s="2" t="n">
        <v>6</v>
      </c>
      <c r="G36" s="19" t="n">
        <f aca="false">E36*F36</f>
        <v>470400</v>
      </c>
    </row>
    <row r="37" customFormat="false" ht="18" hidden="false" customHeight="true" outlineLevel="0" collapsed="false">
      <c r="A37" s="5" t="n">
        <v>18</v>
      </c>
      <c r="B37" s="6" t="s">
        <v>45</v>
      </c>
      <c r="C37" s="6" t="s">
        <v>23</v>
      </c>
      <c r="D37" s="5" t="s">
        <v>15</v>
      </c>
      <c r="E37" s="18" t="n">
        <v>79000</v>
      </c>
      <c r="F37" s="5" t="n">
        <v>22</v>
      </c>
      <c r="G37" s="18" t="n">
        <f aca="false">E37*F37</f>
        <v>1738000</v>
      </c>
    </row>
    <row r="38" customFormat="false" ht="18" hidden="false" customHeight="true" outlineLevel="0" collapsed="false">
      <c r="A38" s="2" t="n">
        <v>23</v>
      </c>
      <c r="B38" s="3" t="s">
        <v>52</v>
      </c>
      <c r="C38" s="3" t="s">
        <v>28</v>
      </c>
      <c r="D38" s="2" t="s">
        <v>47</v>
      </c>
      <c r="E38" s="19" t="n">
        <v>83800</v>
      </c>
      <c r="F38" s="2" t="n">
        <v>51</v>
      </c>
      <c r="G38" s="19" t="n">
        <f aca="false">E38*F38</f>
        <v>4273800</v>
      </c>
    </row>
    <row r="39" customFormat="false" ht="18" hidden="false" customHeight="true" outlineLevel="0" collapsed="false">
      <c r="A39" s="5" t="n">
        <v>14</v>
      </c>
      <c r="B39" s="6" t="s">
        <v>37</v>
      </c>
      <c r="C39" s="6" t="s">
        <v>35</v>
      </c>
      <c r="D39" s="5" t="s">
        <v>9</v>
      </c>
      <c r="E39" s="18" t="n">
        <v>84400</v>
      </c>
      <c r="F39" s="5" t="n">
        <v>99</v>
      </c>
      <c r="G39" s="18" t="n">
        <f aca="false">E39*F39</f>
        <v>8355600</v>
      </c>
    </row>
    <row r="40" customFormat="false" ht="18" hidden="false" customHeight="true" outlineLevel="0" collapsed="false">
      <c r="A40" s="2" t="n">
        <v>31</v>
      </c>
      <c r="B40" s="3" t="s">
        <v>63</v>
      </c>
      <c r="C40" s="3" t="s">
        <v>17</v>
      </c>
      <c r="D40" s="2" t="s">
        <v>15</v>
      </c>
      <c r="E40" s="19" t="n">
        <v>86600</v>
      </c>
      <c r="F40" s="2" t="n">
        <v>69</v>
      </c>
      <c r="G40" s="19" t="n">
        <f aca="false">E40*F40</f>
        <v>5975400</v>
      </c>
    </row>
    <row r="41" customFormat="false" ht="18" hidden="false" customHeight="true" outlineLevel="0" collapsed="false">
      <c r="A41" s="5" t="n">
        <v>41</v>
      </c>
      <c r="B41" s="6" t="s">
        <v>73</v>
      </c>
      <c r="C41" s="6" t="s">
        <v>35</v>
      </c>
      <c r="D41" s="5" t="s">
        <v>15</v>
      </c>
      <c r="E41" s="18" t="n">
        <v>91900</v>
      </c>
      <c r="F41" s="5" t="n">
        <v>9</v>
      </c>
      <c r="G41" s="18" t="n">
        <f aca="false">E41*F41</f>
        <v>827100</v>
      </c>
    </row>
    <row r="42" customFormat="false" ht="18" hidden="false" customHeight="true" outlineLevel="0" collapsed="false">
      <c r="A42" s="2" t="n">
        <v>2</v>
      </c>
      <c r="B42" s="3" t="s">
        <v>10</v>
      </c>
      <c r="C42" s="3" t="s">
        <v>11</v>
      </c>
      <c r="D42" s="2" t="s">
        <v>12</v>
      </c>
      <c r="E42" s="19" t="n">
        <v>92300</v>
      </c>
      <c r="F42" s="2" t="n">
        <v>87</v>
      </c>
      <c r="G42" s="19" t="n">
        <f aca="false">E42*F42</f>
        <v>8030100</v>
      </c>
    </row>
    <row r="43" customFormat="false" ht="18" hidden="false" customHeight="true" outlineLevel="0" collapsed="false">
      <c r="A43" s="5" t="n">
        <v>1</v>
      </c>
      <c r="B43" s="6" t="s">
        <v>7</v>
      </c>
      <c r="C43" s="6" t="s">
        <v>8</v>
      </c>
      <c r="D43" s="5" t="s">
        <v>9</v>
      </c>
      <c r="E43" s="18" t="n">
        <v>92900</v>
      </c>
      <c r="F43" s="5" t="n">
        <v>32</v>
      </c>
      <c r="G43" s="18" t="n">
        <f aca="false">E43*F43</f>
        <v>2972800</v>
      </c>
    </row>
    <row r="44" customFormat="false" ht="18" hidden="false" customHeight="true" outlineLevel="0" collapsed="false">
      <c r="A44" s="2" t="n">
        <v>7</v>
      </c>
      <c r="B44" s="3" t="s">
        <v>22</v>
      </c>
      <c r="C44" s="3" t="s">
        <v>23</v>
      </c>
      <c r="D44" s="2" t="s">
        <v>9</v>
      </c>
      <c r="E44" s="19" t="n">
        <v>94700</v>
      </c>
      <c r="F44" s="2" t="n">
        <v>21</v>
      </c>
      <c r="G44" s="19" t="n">
        <f aca="false">E44*F44</f>
        <v>1988700</v>
      </c>
    </row>
    <row r="45" customFormat="false" ht="18" hidden="false" customHeight="true" outlineLevel="0" collapsed="false">
      <c r="A45" s="5" t="n">
        <v>34</v>
      </c>
      <c r="B45" s="6" t="s">
        <v>66</v>
      </c>
      <c r="C45" s="6" t="s">
        <v>23</v>
      </c>
      <c r="D45" s="5" t="s">
        <v>33</v>
      </c>
      <c r="E45" s="18" t="n">
        <v>95000</v>
      </c>
      <c r="F45" s="5" t="n">
        <v>65</v>
      </c>
      <c r="G45" s="18" t="n">
        <f aca="false">E45*F45</f>
        <v>6175000</v>
      </c>
    </row>
    <row r="46" customFormat="false" ht="18" hidden="false" customHeight="true" outlineLevel="0" collapsed="false">
      <c r="A46" s="2" t="n">
        <v>21</v>
      </c>
      <c r="B46" s="3" t="s">
        <v>49</v>
      </c>
      <c r="C46" s="3" t="s">
        <v>50</v>
      </c>
      <c r="D46" s="2" t="s">
        <v>47</v>
      </c>
      <c r="E46" s="19" t="n">
        <v>101300</v>
      </c>
      <c r="F46" s="2" t="n">
        <v>41</v>
      </c>
      <c r="G46" s="19" t="n">
        <f aca="false">E46*F46</f>
        <v>4153300</v>
      </c>
    </row>
    <row r="47" customFormat="false" ht="18" hidden="false" customHeight="true" outlineLevel="0" collapsed="false">
      <c r="A47" s="5" t="n">
        <v>35</v>
      </c>
      <c r="B47" s="6" t="s">
        <v>67</v>
      </c>
      <c r="C47" s="6" t="s">
        <v>8</v>
      </c>
      <c r="D47" s="5" t="s">
        <v>42</v>
      </c>
      <c r="E47" s="18" t="n">
        <v>103400</v>
      </c>
      <c r="F47" s="5" t="n">
        <v>65</v>
      </c>
      <c r="G47" s="18" t="n">
        <f aca="false">E47*F47</f>
        <v>6721000</v>
      </c>
    </row>
    <row r="48" customFormat="false" ht="18" hidden="false" customHeight="true" outlineLevel="0" collapsed="false">
      <c r="A48" s="2" t="n">
        <v>15</v>
      </c>
      <c r="B48" s="3" t="s">
        <v>38</v>
      </c>
      <c r="C48" s="3" t="s">
        <v>39</v>
      </c>
      <c r="D48" s="2" t="s">
        <v>15</v>
      </c>
      <c r="E48" s="19" t="n">
        <v>104800</v>
      </c>
      <c r="F48" s="2" t="n">
        <v>13</v>
      </c>
      <c r="G48" s="19" t="n">
        <f aca="false">E48*F48</f>
        <v>1362400</v>
      </c>
    </row>
    <row r="49" customFormat="false" ht="18" hidden="false" customHeight="true" outlineLevel="0" collapsed="false">
      <c r="A49" s="5" t="n">
        <v>39</v>
      </c>
      <c r="B49" s="6" t="s">
        <v>71</v>
      </c>
      <c r="C49" s="6" t="s">
        <v>8</v>
      </c>
      <c r="D49" s="5" t="s">
        <v>26</v>
      </c>
      <c r="E49" s="18" t="n">
        <v>107300</v>
      </c>
      <c r="F49" s="5" t="n">
        <v>40</v>
      </c>
      <c r="G49" s="18" t="n">
        <f aca="false">E49*F49</f>
        <v>4292000</v>
      </c>
    </row>
    <row r="50" customFormat="false" ht="18" hidden="false" customHeight="true" outlineLevel="0" collapsed="false">
      <c r="A50" s="2" t="n">
        <v>46</v>
      </c>
      <c r="B50" s="3" t="s">
        <v>79</v>
      </c>
      <c r="C50" s="3" t="s">
        <v>30</v>
      </c>
      <c r="D50" s="2" t="s">
        <v>62</v>
      </c>
      <c r="E50" s="19" t="n">
        <v>109500</v>
      </c>
      <c r="F50" s="2" t="n">
        <v>58</v>
      </c>
      <c r="G50" s="19" t="n">
        <f aca="false">E50*F50</f>
        <v>6351000</v>
      </c>
    </row>
    <row r="51" customFormat="false" ht="18" hidden="false" customHeight="true" outlineLevel="0" collapsed="false">
      <c r="A51" s="5" t="n">
        <v>44</v>
      </c>
      <c r="B51" s="6" t="s">
        <v>76</v>
      </c>
      <c r="C51" s="6" t="s">
        <v>25</v>
      </c>
      <c r="D51" s="5" t="s">
        <v>47</v>
      </c>
      <c r="E51" s="18" t="n">
        <v>112500</v>
      </c>
      <c r="F51" s="5" t="n">
        <v>97</v>
      </c>
      <c r="G51" s="18" t="n">
        <f aca="false">E51*F51</f>
        <v>10912500</v>
      </c>
    </row>
    <row r="52" customFormat="false" ht="18" hidden="false" customHeight="true" outlineLevel="0" collapsed="false">
      <c r="A52" s="2" t="n">
        <v>37</v>
      </c>
      <c r="B52" s="3" t="s">
        <v>69</v>
      </c>
      <c r="C52" s="3" t="s">
        <v>44</v>
      </c>
      <c r="D52" s="2" t="s">
        <v>33</v>
      </c>
      <c r="E52" s="19" t="n">
        <v>115100</v>
      </c>
      <c r="F52" s="2" t="n">
        <v>68</v>
      </c>
      <c r="G52" s="19" t="n">
        <f aca="false">E52*F52</f>
        <v>7826800</v>
      </c>
    </row>
    <row r="53" customFormat="false" ht="21.75" hidden="false" customHeight="true" outlineLevel="0" collapsed="false">
      <c r="A53" s="8" t="s">
        <v>84</v>
      </c>
      <c r="B53" s="8"/>
      <c r="C53" s="8"/>
      <c r="D53" s="8"/>
      <c r="E53" s="8"/>
      <c r="F53" s="9" t="n">
        <f aca="false">SUM(F3:F52)</f>
        <v>2768</v>
      </c>
      <c r="G53" s="9" t="n">
        <f aca="false">SUM(G3:G52)</f>
        <v>168348100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34.5" hidden="false" customHeight="true" outlineLevel="0" collapsed="false">
      <c r="A1" s="10" t="s">
        <v>90</v>
      </c>
      <c r="B1" s="10"/>
      <c r="C1" s="10"/>
      <c r="D1" s="10"/>
    </row>
    <row r="3" customFormat="false" ht="24" hidden="false" customHeight="true" outlineLevel="0" collapsed="false">
      <c r="A3" s="20" t="s">
        <v>91</v>
      </c>
      <c r="B3" s="20"/>
      <c r="C3" s="21" t="n">
        <f aca="false">COUNTA('Kitob Katalogi'!A2:A51)</f>
        <v>50</v>
      </c>
    </row>
    <row r="4" customFormat="false" ht="24" hidden="false" customHeight="true" outlineLevel="0" collapsed="false">
      <c r="A4" s="22" t="s">
        <v>92</v>
      </c>
      <c r="B4" s="22"/>
      <c r="C4" s="21" t="n">
        <f aca="false">SUM('Kitob Katalogi'!F2:F51)</f>
        <v>2768</v>
      </c>
    </row>
    <row r="5" customFormat="false" ht="24" hidden="false" customHeight="true" outlineLevel="0" collapsed="false">
      <c r="A5" s="20" t="s">
        <v>93</v>
      </c>
      <c r="B5" s="20"/>
      <c r="C5" s="23" t="n">
        <f aca="false">SUM('Kitob Katalogi'!G2:G51)</f>
        <v>168348100</v>
      </c>
    </row>
    <row r="6" customFormat="false" ht="24" hidden="false" customHeight="true" outlineLevel="0" collapsed="false">
      <c r="A6" s="22" t="s">
        <v>94</v>
      </c>
      <c r="B6" s="22"/>
      <c r="C6" s="23" t="n">
        <f aca="false">AVERAGE('Kitob Katalogi'!E2:E51)</f>
        <v>61294</v>
      </c>
    </row>
    <row r="7" customFormat="false" ht="24" hidden="false" customHeight="true" outlineLevel="0" collapsed="false">
      <c r="A7" s="20" t="s">
        <v>95</v>
      </c>
      <c r="B7" s="20"/>
      <c r="C7" s="23" t="n">
        <f aca="false">MIN('Kitob Katalogi'!E2:E51)</f>
        <v>15300</v>
      </c>
    </row>
    <row r="8" customFormat="false" ht="24" hidden="false" customHeight="true" outlineLevel="0" collapsed="false">
      <c r="A8" s="22" t="s">
        <v>96</v>
      </c>
      <c r="B8" s="22"/>
      <c r="C8" s="23" t="n">
        <f aca="false">MAX('Kitob Katalogi'!E2:E51)</f>
        <v>115100</v>
      </c>
    </row>
    <row r="9" customFormat="false" ht="24" hidden="false" customHeight="true" outlineLevel="0" collapsed="false">
      <c r="A9" s="20" t="s">
        <v>97</v>
      </c>
      <c r="B9" s="20"/>
      <c r="C9" s="21" t="n">
        <f aca="false">AVERAGE('Kitob Katalogi'!F2:F51)</f>
        <v>55.36</v>
      </c>
    </row>
  </sheetData>
  <mergeCells count="8">
    <mergeCell ref="A1:D1"/>
    <mergeCell ref="A3:B3"/>
    <mergeCell ref="A4:B4"/>
    <mergeCell ref="A5:B5"/>
    <mergeCell ref="A6:B6"/>
    <mergeCell ref="A7:B7"/>
    <mergeCell ref="A8:B8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2026-05-04T05:19:43Z</dcterms:created>
  <dc:creator>openpyxl</dc:creator>
  <dc:description/>
  <dc:language>en-US</dc:language>
  <cp:lastModifiedBy/>
  <dcterms:modified xsi:type="dcterms:W3CDTF">2026-05-04T05:19:43Z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
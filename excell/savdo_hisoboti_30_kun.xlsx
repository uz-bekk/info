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vdo Ma'lumotlari" sheetId="1" state="visible" r:id="rId3"/>
    <sheet name="Tahlil" sheetId="2" state="visible" r:id="rId4"/>
    <sheet name="Diagrammal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<sst xmlns="http://schemas.openxmlformats.org/spreadsheetml/2006/main" count="96" uniqueCount="65">
  <si>
    <t xml:space="preserve">30 KUNLIK SAVDO HISOBOTI</t>
  </si>
  <si>
    <t xml:space="preserve">Sana</t>
  </si>
  <si>
    <t xml:space="preserve">Mahsulot Nomi</t>
  </si>
  <si>
    <t xml:space="preserve">Narxi (so'm)</t>
  </si>
  <si>
    <t xml:space="preserve">Sotilgan Miqdori</t>
  </si>
  <si>
    <t xml:space="preserve">Umumiy Summa (so'm)</t>
  </si>
  <si>
    <t xml:space="preserve">Kunlik Daromad (so'm)</t>
  </si>
  <si>
    <t xml:space="preserve">2025-04-01</t>
  </si>
  <si>
    <t xml:space="preserve">Telefon</t>
  </si>
  <si>
    <t xml:space="preserve">2025-04-02</t>
  </si>
  <si>
    <t xml:space="preserve">Kamera</t>
  </si>
  <si>
    <t xml:space="preserve">2025-04-03</t>
  </si>
  <si>
    <t xml:space="preserve">Planshet</t>
  </si>
  <si>
    <t xml:space="preserve">2025-04-04</t>
  </si>
  <si>
    <t xml:space="preserve">2025-04-05</t>
  </si>
  <si>
    <t xml:space="preserve">Laptop</t>
  </si>
  <si>
    <t xml:space="preserve">2025-04-06</t>
  </si>
  <si>
    <t xml:space="preserve">Qulaqchin</t>
  </si>
  <si>
    <t xml:space="preserve">2025-04-07</t>
  </si>
  <si>
    <t xml:space="preserve">2025-04-08</t>
  </si>
  <si>
    <t xml:space="preserve">Monitor</t>
  </si>
  <si>
    <t xml:space="preserve">2025-04-09</t>
  </si>
  <si>
    <t xml:space="preserve">2025-04-10</t>
  </si>
  <si>
    <t xml:space="preserve">2025-04-11</t>
  </si>
  <si>
    <t xml:space="preserve">Printer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</si>
  <si>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</si>
  <si>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</si>
  <si>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</si>
  <si>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</si>
  <si>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</si>
  <si>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Klaviatura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</si>
  <si>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</si>
  <si>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</si>
  <si>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</si>
  <si>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</si>
  <si>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</si>
  <si>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</si>
  <si>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</si>
  <si>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</si>
  <si>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</si>
  <si>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</si>
  <si>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</si>
  <si>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</si>
  <si>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</si>
  <si>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</si>
  <si>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JAMI</t>
  </si>
  <si>
    <t xml:space="preserve">SAVDO TAHLILI VA STATISTIKA</t>
  </si>
  <si>
    <t xml:space="preserve">Ko'rsatkich</t>
  </si>
  <si>
    <t xml:space="preserve">Qiymat (so'm)</t>
  </si>
  <si>
    <t xml:space="preserve">Izoh</t>
  </si>
  <si>
    <t xml:space="preserve">Jami Daromad</t>
  </si>
  <si>
    <t xml:space="preserve">30 kun yig'indisi</t>
  </si>
  <si>
    <t xml:space="preserve">O'rtacha Kunlik Daromad</t>
  </si>
  <si>
    <t xml:space="preserve">Daromad / 30 kun</t>
  </si>
  <si>
    <t xml:space="preserve">Eng Yuqori Kunlik Daromad</t>
  </si>
  <si>
    <t xml:space="preserve">Bir kunlik maksimum</t>
  </si>
  <si>
    <t xml:space="preserve">Eng Past Kunlik Daromad</t>
  </si>
  <si>
    <t xml:space="preserve">Bir kunlik minimum</t>
  </si>
  <si>
    <t xml:space="preserve">Jami Sotilgan Birlik</t>
  </si>
  <si>
    <t xml:space="preserve">Barcha mahsulotlar</t>
  </si>
  <si>
    <t xml:space="preserve">MAHSULOT BO'YICHA SOTUVLAR</t>
  </si>
  <si>
    <t xml:space="preserve">Mahsulot</t>
  </si>
  <si>
    <t xml:space="preserve">Jami Sotov (so'm)</t>
  </si>
  <si>
    <t xml:space="preserve">Ulushi (%)</t>
  </si>
  <si>
    <t xml:space="preserve">SAVDO DIAGRAMMALARI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</si>
</sst>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EFF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DDEEFF"/>
      </patternFill>
    </fill>
    <fill>
      <patternFill patternType="solid">
        <fgColor rgb="FF2E75B6"/>
        <bgColor rgb="FF4672A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BDD7EE"/>
      </left>
      <right/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A7EBB"/>
      <rgbColor rgb="FFD9D9D9"/>
      <rgbColor rgb="FF878787"/>
      <rgbColor rgb="FF93A9CE"/>
      <rgbColor rgb="FFAB4744"/>
      <rgbColor rgb="FFF9F9F9"/>
      <rgbColor rgb="FFDDEEFF"/>
      <rgbColor rgb="FF660066"/>
      <rgbColor rgb="FFDC853E"/>
      <rgbColor rgb="FF4672A8"/>
      <rgbColor rgb="FFBDD7EE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BF3FB"/>
      <rgbColor rgb="FFCCFFCC"/>
      <rgbColor rgb="FFFFFF99"/>
      <rgbColor rgb="FF99CCFF"/>
      <rgbColor rgb="FFD09493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Mahsulotlar bo'yicha savdo ulushi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Tahlil!B11</c:f>
              <c:strCache>
                <c:ptCount val="1"/>
                <c:pt idx="0">
                  <c:v>Jami Sotov (so'm)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Tahlil!$A$12:$A$19</c:f>
              <c:strCache>
                <c:ptCount val="8"/>
                <c:pt idx="0">
                  <c:v>Kamera</c:v>
                </c:pt>
                <c:pt idx="1">
                  <c:v>Telefon</c:v>
                </c:pt>
                <c:pt idx="2">
                  <c:v>Monitor</c:v>
                </c:pt>
                <c:pt idx="3">
                  <c:v>Planshet</c:v>
                </c:pt>
                <c:pt idx="4">
                  <c:v>Printer</c:v>
                </c:pt>
                <c:pt idx="5">
                  <c:v>Laptop</c:v>
                </c:pt>
                <c:pt idx="6">
                  <c:v>Qulaqchin</c:v>
                </c:pt>
                <c:pt idx="7">
                  <c:v>Klaviatura</c:v>
                </c:pt>
              </c:strCache>
            </c:strRef>
          </c:cat>
          <c:val>
            <c:numRef>
              <c:f>Tahlil!$B$12:$B$19</c:f>
              <c:numCache>
                <c:formatCode>#,##0</c:formatCode>
                <c:ptCount val="8"/>
                <c:pt idx="0">
                  <c:v>77815304</c:v>
                </c:pt>
                <c:pt idx="1">
                  <c:v>76875015</c:v>
                </c:pt>
                <c:pt idx="2">
                  <c:v>50454826</c:v>
                </c:pt>
                <c:pt idx="3">
                  <c:v>46823722</c:v>
                </c:pt>
                <c:pt idx="4">
                  <c:v>31892753</c:v>
                </c:pt>
                <c:pt idx="5">
                  <c:v>21002062</c:v>
                </c:pt>
                <c:pt idx="6">
                  <c:v>11902553</c:v>
                </c:pt>
                <c:pt idx="7">
                  <c:v>600568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Kunlik Daromad Dinamikasi (so'm)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'Savdo Ma''lumotlari'!E3</c:f>
              <c:strCache>
                <c:ptCount val="1"/>
                <c:pt idx="0">
                  <c:v>Umumiy Summa (so'm)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'Savdo Ma''lumotlari'!$A$4:$A$33</c:f>
              <c:strCache>
                <c:ptCount val="30"/>
                <c:pt idx="0">
                  <c:v>2025-04-01</c:v>
                </c:pt>
                <c:pt idx="1">
                  <c:v>2025-04-02</c:v>
                </c:pt>
                <c:pt idx="2">
                  <c:v>2025-04-03</c:v>
                </c:pt>
                <c:pt idx="3">
                  <c:v>2025-04-04</c:v>
                </c:pt>
                <c:pt idx="4">
                  <c:v>2025-04-05</c:v>
                </c:pt>
                <c:pt idx="5">
                  <c:v>2025-04-06</c:v>
                </c:pt>
                <c:pt idx="6">
                  <c:v>2025-04-07</c:v>
                </c:pt>
                <c:pt idx="7">
                  <c:v>2025-04-08</c:v>
                </c:pt>
                <c:pt idx="8">
                  <c:v>2025-04-09</c:v>
                </c:pt>
                <c:pt idx="9">
                  <c:v>2025-04-10</c:v>
                </c:pt>
                <c:pt idx="10">
                  <c:v>2025-04-11</c:v>
                </c:pt>
                <c:pt idx="11">
                  <c:v>2025-04-12</c:v>
                </c:pt>
                <c:pt idx="12">
                  <c:v>2025-04-13</c:v>
                </c:pt>
                <c:pt idx="13">
                  <c:v>2025-04-14</c:v>
                </c:pt>
                <c:pt idx="14">
                  <c:v>2025-04-15</c:v>
                </c:pt>
                <c:pt idx="15">
                  <c:v>2025-04-16</c:v>
                </c:pt>
                <c:pt idx="16">
                  <c:v>2025-04-17</c:v>
                </c:pt>
                <c:pt idx="17">
                  <c:v>2025-04-18</c:v>
                </c:pt>
                <c:pt idx="18">
                  <c:v>2025-04-19</c:v>
                </c:pt>
                <c:pt idx="19">
                  <c:v>2025-04-20</c:v>
                </c:pt>
                <c:pt idx="20">
                  <c:v>2025-04-21</c:v>
                </c:pt>
                <c:pt idx="21">
                  <c:v>2025-04-22</c:v>
                </c:pt>
                <c:pt idx="22">
                  <c:v>2025-04-23</c:v>
                </c:pt>
                <c:pt idx="23">
                  <c:v>2025-04-24</c:v>
                </c:pt>
                <c:pt idx="24">
                  <c:v>2025-04-25</c:v>
                </c:pt>
                <c:pt idx="25">
                  <c:v>2025-04-26</c:v>
                </c:pt>
                <c:pt idx="26">
                  <c:v>2025-04-27</c:v>
                </c:pt>
                <c:pt idx="27">
                  <c:v>2025-04-28</c:v>
                </c:pt>
                <c:pt idx="28">
                  <c:v>2025-04-29</c:v>
                </c:pt>
                <c:pt idx="29">
                  <c:v>2025-04-30</c:v>
                </c:pt>
              </c:strCache>
            </c:strRef>
          </c:cat>
          <c:val>
            <c:numRef>
              <c:f>'Savdo Ma''lumotlari'!$E$4:$E$33</c:f>
              <c:numCache>
                <c:formatCode>#,##0</c:formatCode>
                <c:ptCount val="30"/>
                <c:pt idx="0">
                  <c:v>21039336</c:v>
                </c:pt>
                <c:pt idx="1">
                  <c:v>4728392</c:v>
                </c:pt>
                <c:pt idx="2">
                  <c:v>4493060</c:v>
                </c:pt>
                <c:pt idx="3">
                  <c:v>12791779</c:v>
                </c:pt>
                <c:pt idx="4">
                  <c:v>6907810</c:v>
                </c:pt>
                <c:pt idx="5">
                  <c:v>3874455</c:v>
                </c:pt>
                <c:pt idx="6">
                  <c:v>14094252</c:v>
                </c:pt>
                <c:pt idx="7">
                  <c:v>12631144</c:v>
                </c:pt>
                <c:pt idx="8">
                  <c:v>14961063</c:v>
                </c:pt>
                <c:pt idx="9">
                  <c:v>15690542</c:v>
                </c:pt>
                <c:pt idx="10">
                  <c:v>2809263</c:v>
                </c:pt>
                <c:pt idx="11">
                  <c:v>888236</c:v>
                </c:pt>
                <c:pt idx="12">
                  <c:v>3599594</c:v>
                </c:pt>
                <c:pt idx="13">
                  <c:v>9450820</c:v>
                </c:pt>
                <c:pt idx="14">
                  <c:v>13868340</c:v>
                </c:pt>
                <c:pt idx="15">
                  <c:v>600568</c:v>
                </c:pt>
                <c:pt idx="16">
                  <c:v>14042952</c:v>
                </c:pt>
                <c:pt idx="17">
                  <c:v>12323970</c:v>
                </c:pt>
                <c:pt idx="18">
                  <c:v>3902696</c:v>
                </c:pt>
                <c:pt idx="19">
                  <c:v>19316066</c:v>
                </c:pt>
                <c:pt idx="20">
                  <c:v>875860</c:v>
                </c:pt>
                <c:pt idx="21">
                  <c:v>2892666</c:v>
                </c:pt>
                <c:pt idx="22">
                  <c:v>13303719</c:v>
                </c:pt>
                <c:pt idx="23">
                  <c:v>5527914</c:v>
                </c:pt>
                <c:pt idx="24">
                  <c:v>10202060</c:v>
                </c:pt>
                <c:pt idx="25">
                  <c:v>18629820</c:v>
                </c:pt>
                <c:pt idx="26">
                  <c:v>20128240</c:v>
                </c:pt>
                <c:pt idx="27">
                  <c:v>26640120</c:v>
                </c:pt>
                <c:pt idx="28">
                  <c:v>3371336</c:v>
                </c:pt>
                <c:pt idx="29">
                  <c:v>23780730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322266"/>
        <c:axId val="41025280"/>
      </c:lineChart>
      <c:catAx>
        <c:axId val="593222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Kun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25280"/>
        <c:crosses val="autoZero"/>
        <c:auto val="1"/>
        <c:lblAlgn val="ctr"/>
        <c:lblOffset val="100"/>
        <c:noMultiLvlLbl val="0"/>
      </c:catAx>
      <c:valAx>
        <c:axId val="410252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Daromad (so'm)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222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Mahsulot bo'yicha Jami Daromad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Tahlil!B11</c:f>
              <c:strCache>
                <c:ptCount val="1"/>
                <c:pt idx="0">
                  <c:v>Jami Sotov (so'm)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Tahlil!$A$12:$A$19</c:f>
              <c:strCache>
                <c:ptCount val="8"/>
                <c:pt idx="0">
                  <c:v>Kamera</c:v>
                </c:pt>
                <c:pt idx="1">
                  <c:v>Telefon</c:v>
                </c:pt>
                <c:pt idx="2">
                  <c:v>Monitor</c:v>
                </c:pt>
                <c:pt idx="3">
                  <c:v>Planshet</c:v>
                </c:pt>
                <c:pt idx="4">
                  <c:v>Printer</c:v>
                </c:pt>
                <c:pt idx="5">
                  <c:v>Laptop</c:v>
                </c:pt>
                <c:pt idx="6">
                  <c:v>Qulaqchin</c:v>
                </c:pt>
                <c:pt idx="7">
                  <c:v>Klaviatura</c:v>
                </c:pt>
              </c:strCache>
            </c:strRef>
          </c:cat>
          <c:val>
            <c:numRef>
              <c:f>Tahlil!$B$12:$B$19</c:f>
              <c:numCache>
                <c:formatCode>#,##0</c:formatCode>
                <c:ptCount val="8"/>
                <c:pt idx="0">
                  <c:v>77815304</c:v>
                </c:pt>
                <c:pt idx="1">
                  <c:v>76875015</c:v>
                </c:pt>
                <c:pt idx="2">
                  <c:v>50454826</c:v>
                </c:pt>
                <c:pt idx="3">
                  <c:v>46823722</c:v>
                </c:pt>
                <c:pt idx="4">
                  <c:v>31892753</c:v>
                </c:pt>
                <c:pt idx="5">
                  <c:v>21002062</c:v>
                </c:pt>
                <c:pt idx="6">
                  <c:v>11902553</c:v>
                </c:pt>
                <c:pt idx="7">
                  <c:v>600568</c:v>
                </c:pt>
              </c:numCache>
            </c:numRef>
          </c:val>
        </c:ser>
        <c:gapWidth val="150"/>
        <c:overlap val="0"/>
        <c:axId val="62303671"/>
        <c:axId val="79616056"/>
      </c:barChart>
      <c:catAx>
        <c:axId val="623036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Mahsulot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16056"/>
        <c:crosses val="autoZero"/>
        <c:auto val="1"/>
        <c:lblAlgn val="ctr"/>
        <c:lblOffset val="100"/>
        <c:noMultiLvlLbl val="0"/>
      </c:catAx>
      <c:valAx>
        <c:axId val="796160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Daromad (so'm)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036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10</xdr:col>
      <xdr:colOff>363960</xdr:colOff>
      <xdr:row>28</xdr:row>
      <xdr:rowOff>86040</xdr:rowOff>
    </xdr:to>
    <xdr:graphicFrame>
      <xdr:nvGraphicFramePr>
        <xdr:cNvPr id="0" name="Chart 1"/>
        <xdr:cNvGraphicFramePr/>
      </xdr:nvGraphicFramePr>
      <xdr:xfrm>
        <a:off x="0" y="571680"/>
        <a:ext cx="647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21</xdr:col>
      <xdr:colOff>581040</xdr:colOff>
      <xdr:row>28</xdr:row>
      <xdr:rowOff>86040</xdr:rowOff>
    </xdr:to>
    <xdr:graphicFrame>
      <xdr:nvGraphicFramePr>
        <xdr:cNvPr id="1" name="Chart 2"/>
        <xdr:cNvGraphicFramePr/>
      </xdr:nvGraphicFramePr>
      <xdr:xfrm>
        <a:off x="5503680" y="571680"/>
        <a:ext cx="791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16</xdr:col>
      <xdr:colOff>294840</xdr:colOff>
      <xdr:row>47</xdr:row>
      <xdr:rowOff>86040</xdr:rowOff>
    </xdr:to>
    <xdr:graphicFrame>
      <xdr:nvGraphicFramePr>
        <xdr:cNvPr id="2" name="Chart 3"/>
        <xdr:cNvGraphicFramePr/>
      </xdr:nvGraphicFramePr>
      <xdr:xfrm>
        <a:off x="0" y="4191120"/>
        <a:ext cx="1007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8"/>
    <col collapsed="false" customWidth="true" hidden="false" outlineLevel="0" max="6" min="5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7.5" hidden="false" customHeight="true" outlineLevel="0" collapsed="false"/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15" hidden="false" customHeight="true" outlineLevel="0" collapsed="false">
      <c r="A4" s="4" t="s">
        <v>7</v>
      </c>
      <c r="B4" s="5" t="s">
        <v>8</v>
      </c>
      <c r="C4" s="6" t="n">
        <v>1753278</v>
      </c>
      <c r="D4" s="4" t="n">
        <v>12</v>
      </c>
      <c r="E4" s="7" t="n">
        <f aca="false">C4*D4</f>
        <v>21039336</v>
      </c>
      <c r="F4" s="7" t="n">
        <f aca="false">E4</f>
        <v>21039336</v>
      </c>
    </row>
    <row r="5" customFormat="false" ht="15" hidden="false" customHeight="true" outlineLevel="0" collapsed="false">
      <c r="A5" s="8" t="s">
        <v>9</v>
      </c>
      <c r="B5" s="9" t="s">
        <v>10</v>
      </c>
      <c r="C5" s="10" t="n">
        <v>1182098</v>
      </c>
      <c r="D5" s="8" t="n">
        <v>4</v>
      </c>
      <c r="E5" s="11" t="n">
        <f aca="false">C5*D5</f>
        <v>4728392</v>
      </c>
      <c r="F5" s="11" t="n">
        <f aca="false">E5</f>
        <v>4728392</v>
      </c>
    </row>
    <row r="6" customFormat="false" ht="15" hidden="false" customHeight="true" outlineLevel="0" collapsed="false">
      <c r="A6" s="4" t="s">
        <v>11</v>
      </c>
      <c r="B6" s="5" t="s">
        <v>12</v>
      </c>
      <c r="C6" s="6" t="n">
        <v>2246530</v>
      </c>
      <c r="D6" s="4" t="n">
        <v>2</v>
      </c>
      <c r="E6" s="7" t="n">
        <f aca="false">C6*D6</f>
        <v>4493060</v>
      </c>
      <c r="F6" s="7" t="n">
        <f aca="false">E6</f>
        <v>4493060</v>
      </c>
    </row>
    <row r="7" customFormat="false" ht="15" hidden="false" customHeight="true" outlineLevel="0" collapsed="false">
      <c r="A7" s="8" t="s">
        <v>13</v>
      </c>
      <c r="B7" s="9" t="s">
        <v>8</v>
      </c>
      <c r="C7" s="10" t="n">
        <v>1827397</v>
      </c>
      <c r="D7" s="8" t="n">
        <v>7</v>
      </c>
      <c r="E7" s="11" t="n">
        <f aca="false">C7*D7</f>
        <v>12791779</v>
      </c>
      <c r="F7" s="11" t="n">
        <f aca="false">E7</f>
        <v>12791779</v>
      </c>
    </row>
    <row r="8" customFormat="false" ht="15" hidden="false" customHeight="true" outlineLevel="0" collapsed="false">
      <c r="A8" s="4" t="s">
        <v>14</v>
      </c>
      <c r="B8" s="5" t="s">
        <v>15</v>
      </c>
      <c r="C8" s="6" t="n">
        <v>3453905</v>
      </c>
      <c r="D8" s="4" t="n">
        <v>2</v>
      </c>
      <c r="E8" s="7" t="n">
        <f aca="false">C8*D8</f>
        <v>6907810</v>
      </c>
      <c r="F8" s="7" t="n">
        <f aca="false">E8</f>
        <v>6907810</v>
      </c>
    </row>
    <row r="9" customFormat="false" ht="15" hidden="false" customHeight="true" outlineLevel="0" collapsed="false">
      <c r="A9" s="8" t="s">
        <v>16</v>
      </c>
      <c r="B9" s="9" t="s">
        <v>17</v>
      </c>
      <c r="C9" s="10" t="n">
        <v>430495</v>
      </c>
      <c r="D9" s="8" t="n">
        <v>9</v>
      </c>
      <c r="E9" s="11" t="n">
        <f aca="false">C9*D9</f>
        <v>3874455</v>
      </c>
      <c r="F9" s="11" t="n">
        <f aca="false">E9</f>
        <v>3874455</v>
      </c>
    </row>
    <row r="10" customFormat="false" ht="15" hidden="false" customHeight="true" outlineLevel="0" collapsed="false">
      <c r="A10" s="4" t="s">
        <v>18</v>
      </c>
      <c r="B10" s="5" t="s">
        <v>15</v>
      </c>
      <c r="C10" s="6" t="n">
        <v>3523563</v>
      </c>
      <c r="D10" s="4" t="n">
        <v>4</v>
      </c>
      <c r="E10" s="7" t="n">
        <f aca="false">C10*D10</f>
        <v>14094252</v>
      </c>
      <c r="F10" s="7" t="n">
        <f aca="false">E10</f>
        <v>14094252</v>
      </c>
    </row>
    <row r="11" customFormat="false" ht="15" hidden="false" customHeight="true" outlineLevel="0" collapsed="false">
      <c r="A11" s="8" t="s">
        <v>19</v>
      </c>
      <c r="B11" s="9" t="s">
        <v>20</v>
      </c>
      <c r="C11" s="10" t="n">
        <v>1578893</v>
      </c>
      <c r="D11" s="8" t="n">
        <v>8</v>
      </c>
      <c r="E11" s="11" t="n">
        <f aca="false">C11*D11</f>
        <v>12631144</v>
      </c>
      <c r="F11" s="11" t="n">
        <f aca="false">E11</f>
        <v>12631144</v>
      </c>
    </row>
    <row r="12" customFormat="false" ht="15" hidden="false" customHeight="true" outlineLevel="0" collapsed="false">
      <c r="A12" s="4" t="s">
        <v>21</v>
      </c>
      <c r="B12" s="5" t="s">
        <v>10</v>
      </c>
      <c r="C12" s="6" t="n">
        <v>1150851</v>
      </c>
      <c r="D12" s="4" t="n">
        <v>13</v>
      </c>
      <c r="E12" s="7" t="n">
        <f aca="false">C12*D12</f>
        <v>14961063</v>
      </c>
      <c r="F12" s="7" t="n">
        <f aca="false">E12</f>
        <v>14961063</v>
      </c>
    </row>
    <row r="13" customFormat="false" ht="15" hidden="false" customHeight="true" outlineLevel="0" collapsed="false">
      <c r="A13" s="8" t="s">
        <v>22</v>
      </c>
      <c r="B13" s="9" t="s">
        <v>12</v>
      </c>
      <c r="C13" s="10" t="n">
        <v>2241506</v>
      </c>
      <c r="D13" s="8" t="n">
        <v>7</v>
      </c>
      <c r="E13" s="11" t="n">
        <f aca="false">C13*D13</f>
        <v>15690542</v>
      </c>
      <c r="F13" s="11" t="n">
        <f aca="false">E13</f>
        <v>15690542</v>
      </c>
    </row>
    <row r="14" customFormat="false" ht="15" hidden="false" customHeight="true" outlineLevel="0" collapsed="false">
      <c r="A14" s="4" t="s">
        <v>23</v>
      </c>
      <c r="B14" s="5" t="s">
        <v>24</v>
      </c>
      <c r="C14" s="6" t="n">
        <v>936421</v>
      </c>
      <c r="D14" s="4" t="n">
        <v>3</v>
      </c>
      <c r="E14" s="7" t="n">
        <f aca="false">C14*D14</f>
        <v>2809263</v>
      </c>
      <c r="F14" s="7" t="n">
        <f aca="false">E14</f>
        <v>2809263</v>
      </c>
    </row>
    <row r="15" customFormat="false" ht="15" hidden="false" customHeight="true" outlineLevel="0" collapsed="false">
      <c r="A15" s="8" t="s">
        <v>25</v>
      </c>
      <c r="B15" s="9" t="s">
        <v>17</v>
      </c>
      <c r="C15" s="10" t="n">
        <v>444118</v>
      </c>
      <c r="D15" s="8" t="n">
        <v>2</v>
      </c>
      <c r="E15" s="11" t="n">
        <f aca="false">C15*D15</f>
        <v>888236</v>
      </c>
      <c r="F15" s="11" t="n">
        <f aca="false">E15</f>
        <v>888236</v>
      </c>
    </row>
    <row r="16" customFormat="false" ht="15" hidden="false" customHeight="true" outlineLevel="0" collapsed="false">
      <c r="A16" s="4" t="s">
        <v>26</v>
      </c>
      <c r="B16" s="5" t="s">
        <v>8</v>
      </c>
      <c r="C16" s="6" t="n">
        <v>1799797</v>
      </c>
      <c r="D16" s="4" t="n">
        <v>2</v>
      </c>
      <c r="E16" s="7" t="n">
        <f aca="false">C16*D16</f>
        <v>3599594</v>
      </c>
      <c r="F16" s="7" t="n">
        <f aca="false">E16</f>
        <v>3599594</v>
      </c>
    </row>
    <row r="17" customFormat="false" ht="15" hidden="false" customHeight="true" outlineLevel="0" collapsed="false">
      <c r="A17" s="8" t="s">
        <v>27</v>
      </c>
      <c r="B17" s="9" t="s">
        <v>24</v>
      </c>
      <c r="C17" s="10" t="n">
        <v>945082</v>
      </c>
      <c r="D17" s="8" t="n">
        <v>10</v>
      </c>
      <c r="E17" s="11" t="n">
        <f aca="false">C17*D17</f>
        <v>9450820</v>
      </c>
      <c r="F17" s="11" t="n">
        <f aca="false">E17</f>
        <v>9450820</v>
      </c>
    </row>
    <row r="18" customFormat="false" ht="15" hidden="false" customHeight="true" outlineLevel="0" collapsed="false">
      <c r="A18" s="4" t="s">
        <v>28</v>
      </c>
      <c r="B18" s="5" t="s">
        <v>10</v>
      </c>
      <c r="C18" s="6" t="n">
        <v>1155695</v>
      </c>
      <c r="D18" s="4" t="n">
        <v>12</v>
      </c>
      <c r="E18" s="7" t="n">
        <f aca="false">C18*D18</f>
        <v>13868340</v>
      </c>
      <c r="F18" s="7" t="n">
        <f aca="false">E18</f>
        <v>13868340</v>
      </c>
    </row>
    <row r="19" customFormat="false" ht="15" hidden="false" customHeight="true" outlineLevel="0" collapsed="false">
      <c r="A19" s="8" t="s">
        <v>29</v>
      </c>
      <c r="B19" s="9" t="s">
        <v>30</v>
      </c>
      <c r="C19" s="10" t="n">
        <v>300284</v>
      </c>
      <c r="D19" s="8" t="n">
        <v>2</v>
      </c>
      <c r="E19" s="11" t="n">
        <f aca="false">C19*D19</f>
        <v>600568</v>
      </c>
      <c r="F19" s="11" t="n">
        <f aca="false">E19</f>
        <v>600568</v>
      </c>
    </row>
    <row r="20" customFormat="false" ht="15" hidden="false" customHeight="true" outlineLevel="0" collapsed="false">
      <c r="A20" s="4" t="s">
        <v>31</v>
      </c>
      <c r="B20" s="5" t="s">
        <v>20</v>
      </c>
      <c r="C20" s="6" t="n">
        <v>1560328</v>
      </c>
      <c r="D20" s="4" t="n">
        <v>9</v>
      </c>
      <c r="E20" s="7" t="n">
        <f aca="false">C20*D20</f>
        <v>14042952</v>
      </c>
      <c r="F20" s="7" t="n">
        <f aca="false">E20</f>
        <v>14042952</v>
      </c>
    </row>
    <row r="21" customFormat="false" ht="15" hidden="false" customHeight="true" outlineLevel="0" collapsed="false">
      <c r="A21" s="8" t="s">
        <v>32</v>
      </c>
      <c r="B21" s="9" t="s">
        <v>10</v>
      </c>
      <c r="C21" s="10" t="n">
        <v>1232397</v>
      </c>
      <c r="D21" s="8" t="n">
        <v>10</v>
      </c>
      <c r="E21" s="11" t="n">
        <f aca="false">C21*D21</f>
        <v>12323970</v>
      </c>
      <c r="F21" s="11" t="n">
        <f aca="false">E21</f>
        <v>12323970</v>
      </c>
    </row>
    <row r="22" customFormat="false" ht="15" hidden="false" customHeight="true" outlineLevel="0" collapsed="false">
      <c r="A22" s="4" t="s">
        <v>33</v>
      </c>
      <c r="B22" s="5" t="s">
        <v>24</v>
      </c>
      <c r="C22" s="6" t="n">
        <v>975674</v>
      </c>
      <c r="D22" s="4" t="n">
        <v>4</v>
      </c>
      <c r="E22" s="7" t="n">
        <f aca="false">C22*D22</f>
        <v>3902696</v>
      </c>
      <c r="F22" s="7" t="n">
        <f aca="false">E22</f>
        <v>3902696</v>
      </c>
    </row>
    <row r="23" customFormat="false" ht="15" hidden="false" customHeight="true" outlineLevel="0" collapsed="false">
      <c r="A23" s="8" t="s">
        <v>34</v>
      </c>
      <c r="B23" s="9" t="s">
        <v>8</v>
      </c>
      <c r="C23" s="10" t="n">
        <v>1756006</v>
      </c>
      <c r="D23" s="8" t="n">
        <v>11</v>
      </c>
      <c r="E23" s="11" t="n">
        <f aca="false">C23*D23</f>
        <v>19316066</v>
      </c>
      <c r="F23" s="11" t="n">
        <f aca="false">E23</f>
        <v>19316066</v>
      </c>
    </row>
    <row r="24" customFormat="false" ht="15" hidden="false" customHeight="true" outlineLevel="0" collapsed="false">
      <c r="A24" s="4" t="s">
        <v>35</v>
      </c>
      <c r="B24" s="5" t="s">
        <v>17</v>
      </c>
      <c r="C24" s="6" t="n">
        <v>437930</v>
      </c>
      <c r="D24" s="4" t="n">
        <v>2</v>
      </c>
      <c r="E24" s="7" t="n">
        <f aca="false">C24*D24</f>
        <v>875860</v>
      </c>
      <c r="F24" s="7" t="n">
        <f aca="false">E24</f>
        <v>875860</v>
      </c>
    </row>
    <row r="25" customFormat="false" ht="15" hidden="false" customHeight="true" outlineLevel="0" collapsed="false">
      <c r="A25" s="8" t="s">
        <v>36</v>
      </c>
      <c r="B25" s="9" t="s">
        <v>17</v>
      </c>
      <c r="C25" s="10" t="n">
        <v>413238</v>
      </c>
      <c r="D25" s="8" t="n">
        <v>7</v>
      </c>
      <c r="E25" s="11" t="n">
        <f aca="false">C25*D25</f>
        <v>2892666</v>
      </c>
      <c r="F25" s="11" t="n">
        <f aca="false">E25</f>
        <v>2892666</v>
      </c>
    </row>
    <row r="26" customFormat="false" ht="15" hidden="false" customHeight="true" outlineLevel="0" collapsed="false">
      <c r="A26" s="4" t="s">
        <v>37</v>
      </c>
      <c r="B26" s="5" t="s">
        <v>10</v>
      </c>
      <c r="C26" s="6" t="n">
        <v>1209429</v>
      </c>
      <c r="D26" s="4" t="n">
        <v>11</v>
      </c>
      <c r="E26" s="7" t="n">
        <f aca="false">C26*D26</f>
        <v>13303719</v>
      </c>
      <c r="F26" s="7" t="n">
        <f aca="false">E26</f>
        <v>13303719</v>
      </c>
    </row>
    <row r="27" customFormat="false" ht="15" hidden="false" customHeight="true" outlineLevel="0" collapsed="false">
      <c r="A27" s="8" t="s">
        <v>38</v>
      </c>
      <c r="B27" s="9" t="s">
        <v>24</v>
      </c>
      <c r="C27" s="10" t="n">
        <v>921319</v>
      </c>
      <c r="D27" s="8" t="n">
        <v>6</v>
      </c>
      <c r="E27" s="11" t="n">
        <f aca="false">C27*D27</f>
        <v>5527914</v>
      </c>
      <c r="F27" s="11" t="n">
        <f aca="false">E27</f>
        <v>5527914</v>
      </c>
    </row>
    <row r="28" customFormat="false" ht="15" hidden="false" customHeight="true" outlineLevel="0" collapsed="false">
      <c r="A28" s="4" t="s">
        <v>39</v>
      </c>
      <c r="B28" s="5" t="s">
        <v>24</v>
      </c>
      <c r="C28" s="6" t="n">
        <v>927460</v>
      </c>
      <c r="D28" s="4" t="n">
        <v>11</v>
      </c>
      <c r="E28" s="7" t="n">
        <f aca="false">C28*D28</f>
        <v>10202060</v>
      </c>
      <c r="F28" s="7" t="n">
        <f aca="false">E28</f>
        <v>10202060</v>
      </c>
    </row>
    <row r="29" customFormat="false" ht="15" hidden="false" customHeight="true" outlineLevel="0" collapsed="false">
      <c r="A29" s="8" t="s">
        <v>40</v>
      </c>
      <c r="B29" s="9" t="s">
        <v>10</v>
      </c>
      <c r="C29" s="10" t="n">
        <v>1241988</v>
      </c>
      <c r="D29" s="8" t="n">
        <v>15</v>
      </c>
      <c r="E29" s="11" t="n">
        <f aca="false">C29*D29</f>
        <v>18629820</v>
      </c>
      <c r="F29" s="11" t="n">
        <f aca="false">E29</f>
        <v>18629820</v>
      </c>
    </row>
    <row r="30" customFormat="false" ht="15" hidden="false" customHeight="true" outlineLevel="0" collapsed="false">
      <c r="A30" s="4" t="s">
        <v>41</v>
      </c>
      <c r="B30" s="5" t="s">
        <v>8</v>
      </c>
      <c r="C30" s="6" t="n">
        <v>1829840</v>
      </c>
      <c r="D30" s="4" t="n">
        <v>11</v>
      </c>
      <c r="E30" s="7" t="n">
        <f aca="false">C30*D30</f>
        <v>20128240</v>
      </c>
      <c r="F30" s="7" t="n">
        <f aca="false">E30</f>
        <v>20128240</v>
      </c>
    </row>
    <row r="31" customFormat="false" ht="15" hidden="false" customHeight="true" outlineLevel="0" collapsed="false">
      <c r="A31" s="8" t="s">
        <v>42</v>
      </c>
      <c r="B31" s="9" t="s">
        <v>12</v>
      </c>
      <c r="C31" s="10" t="n">
        <v>2220010</v>
      </c>
      <c r="D31" s="8" t="n">
        <v>12</v>
      </c>
      <c r="E31" s="11" t="n">
        <f aca="false">C31*D31</f>
        <v>26640120</v>
      </c>
      <c r="F31" s="11" t="n">
        <f aca="false">E31</f>
        <v>26640120</v>
      </c>
    </row>
    <row r="32" customFormat="false" ht="15" hidden="false" customHeight="true" outlineLevel="0" collapsed="false">
      <c r="A32" s="4" t="s">
        <v>43</v>
      </c>
      <c r="B32" s="5" t="s">
        <v>17</v>
      </c>
      <c r="C32" s="6" t="n">
        <v>421417</v>
      </c>
      <c r="D32" s="4" t="n">
        <v>8</v>
      </c>
      <c r="E32" s="7" t="n">
        <f aca="false">C32*D32</f>
        <v>3371336</v>
      </c>
      <c r="F32" s="7" t="n">
        <f aca="false">E32</f>
        <v>3371336</v>
      </c>
    </row>
    <row r="33" customFormat="false" ht="15" hidden="false" customHeight="true" outlineLevel="0" collapsed="false">
      <c r="A33" s="8" t="s">
        <v>44</v>
      </c>
      <c r="B33" s="9" t="s">
        <v>20</v>
      </c>
      <c r="C33" s="10" t="n">
        <v>1585382</v>
      </c>
      <c r="D33" s="8" t="n">
        <v>15</v>
      </c>
      <c r="E33" s="11" t="n">
        <f aca="false">C33*D33</f>
        <v>23780730</v>
      </c>
      <c r="F33" s="11" t="n">
        <f aca="false">E33</f>
        <v>23780730</v>
      </c>
    </row>
    <row r="34" customFormat="false" ht="19.5" hidden="false" customHeight="true" outlineLevel="0" collapsed="false">
      <c r="A34" s="12" t="s">
        <v>45</v>
      </c>
      <c r="B34" s="12"/>
      <c r="C34" s="13" t="n">
        <f aca="false">SUM(C4:C33)</f>
        <v>41702331</v>
      </c>
      <c r="D34" s="13" t="n">
        <f aca="false">SUM(D4:D33)</f>
        <v>231</v>
      </c>
      <c r="E34" s="13" t="n">
        <f aca="false">SUM(E4:E33)</f>
        <v>317366803</v>
      </c>
      <c r="F34" s="13" t="n">
        <f aca="false">SUM(F4:F33)</f>
        <v>317366803</v>
      </c>
    </row>
  </sheetData>
  <mergeCells count="2">
    <mergeCell ref="A1:F1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6"/>
  </cols>
  <sheetData>
    <row r="1" customFormat="false" ht="30" hidden="false" customHeight="true" outlineLevel="0" collapsed="false">
      <c r="A1" s="2" t="s">
        <v>46</v>
      </c>
      <c r="B1" s="2"/>
      <c r="C1" s="2"/>
    </row>
    <row r="3" customFormat="false" ht="15" hidden="false" customHeight="true" outlineLevel="0" collapsed="false">
      <c r="A3" s="3" t="s">
        <v>47</v>
      </c>
      <c r="B3" s="3" t="s">
        <v>48</v>
      </c>
      <c r="C3" s="3" t="s">
        <v>49</v>
      </c>
    </row>
    <row r="4" customFormat="false" ht="18" hidden="false" customHeight="true" outlineLevel="0" collapsed="false">
      <c r="A4" s="14" t="s">
        <v>50</v>
      </c>
      <c r="B4" s="11" t="n">
        <v>317366803</v>
      </c>
      <c r="C4" s="15" t="s">
        <v>51</v>
      </c>
    </row>
    <row r="5" customFormat="false" ht="18" hidden="false" customHeight="true" outlineLevel="0" collapsed="false">
      <c r="A5" s="16" t="s">
        <v>52</v>
      </c>
      <c r="B5" s="17" t="n">
        <v>10578893</v>
      </c>
      <c r="C5" s="18" t="s">
        <v>53</v>
      </c>
    </row>
    <row r="6" customFormat="false" ht="18" hidden="false" customHeight="true" outlineLevel="0" collapsed="false">
      <c r="A6" s="14" t="s">
        <v>54</v>
      </c>
      <c r="B6" s="11" t="n">
        <v>26640120</v>
      </c>
      <c r="C6" s="15" t="s">
        <v>55</v>
      </c>
    </row>
    <row r="7" customFormat="false" ht="18" hidden="false" customHeight="true" outlineLevel="0" collapsed="false">
      <c r="A7" s="16" t="s">
        <v>56</v>
      </c>
      <c r="B7" s="17" t="n">
        <v>600568</v>
      </c>
      <c r="C7" s="18" t="s">
        <v>57</v>
      </c>
    </row>
    <row r="8" customFormat="false" ht="18" hidden="false" customHeight="true" outlineLevel="0" collapsed="false">
      <c r="A8" s="14" t="s">
        <v>58</v>
      </c>
      <c r="B8" s="11" t="n">
        <v>231</v>
      </c>
      <c r="C8" s="15" t="s">
        <v>59</v>
      </c>
    </row>
    <row r="10" customFormat="false" ht="15" hidden="false" customHeight="true" outlineLevel="0" collapsed="false">
      <c r="A10" s="19" t="s">
        <v>60</v>
      </c>
      <c r="B10" s="19"/>
      <c r="C10" s="19"/>
    </row>
    <row r="11" customFormat="false" ht="15" hidden="false" customHeight="true" outlineLevel="0" collapsed="false">
      <c r="A11" s="3" t="s">
        <v>61</v>
      </c>
      <c r="B11" s="3" t="s">
        <v>62</v>
      </c>
      <c r="C11" s="3" t="s">
        <v>63</v>
      </c>
    </row>
    <row r="12" customFormat="false" ht="15" hidden="false" customHeight="true" outlineLevel="0" collapsed="false">
      <c r="A12" s="5" t="s">
        <v>10</v>
      </c>
      <c r="B12" s="7" t="n">
        <v>77815304</v>
      </c>
      <c r="C12" s="20" t="n">
        <f aca="false">B12/SUM(B12:B19)</f>
        <v>0.245190433480845</v>
      </c>
    </row>
    <row r="13" customFormat="false" ht="15" hidden="false" customHeight="true" outlineLevel="0" collapsed="false">
      <c r="A13" s="9" t="s">
        <v>8</v>
      </c>
      <c r="B13" s="11" t="n">
        <v>76875015</v>
      </c>
      <c r="C13" s="21" t="n">
        <f aca="false">B13/SUM(B12:B19)</f>
        <v>0.242227650382198</v>
      </c>
    </row>
    <row r="14" customFormat="false" ht="15" hidden="false" customHeight="true" outlineLevel="0" collapsed="false">
      <c r="A14" s="5" t="s">
        <v>20</v>
      </c>
      <c r="B14" s="7" t="n">
        <v>50454826</v>
      </c>
      <c r="C14" s="20" t="n">
        <f aca="false">B14/SUM(B12:B19)</f>
        <v>0.158979532588353</v>
      </c>
    </row>
    <row r="15" customFormat="false" ht="15" hidden="false" customHeight="true" outlineLevel="0" collapsed="false">
      <c r="A15" s="9" t="s">
        <v>12</v>
      </c>
      <c r="B15" s="11" t="n">
        <v>46823722</v>
      </c>
      <c r="C15" s="21" t="n">
        <f aca="false">B15/SUM(B12:B19)</f>
        <v>0.147538184704214</v>
      </c>
    </row>
    <row r="16" customFormat="false" ht="15" hidden="false" customHeight="true" outlineLevel="0" collapsed="false">
      <c r="A16" s="5" t="s">
        <v>24</v>
      </c>
      <c r="B16" s="7" t="n">
        <v>31892753</v>
      </c>
      <c r="C16" s="20" t="n">
        <f aca="false">B16/SUM(B12:B19)</f>
        <v>0.100491773867099</v>
      </c>
    </row>
    <row r="17" customFormat="false" ht="15" hidden="false" customHeight="true" outlineLevel="0" collapsed="false">
      <c r="A17" s="9" t="s">
        <v>15</v>
      </c>
      <c r="B17" s="11" t="n">
        <v>21002062</v>
      </c>
      <c r="C17" s="21" t="n">
        <f aca="false">B17/SUM(B12:B19)</f>
        <v>0.0661759887974169</v>
      </c>
    </row>
    <row r="18" customFormat="false" ht="15" hidden="false" customHeight="true" outlineLevel="0" collapsed="false">
      <c r="A18" s="5" t="s">
        <v>17</v>
      </c>
      <c r="B18" s="7" t="n">
        <v>11902553</v>
      </c>
      <c r="C18" s="20" t="n">
        <f aca="false">B18/SUM(B12:B19)</f>
        <v>0.0375040895502861</v>
      </c>
    </row>
    <row r="19" customFormat="false" ht="15" hidden="false" customHeight="true" outlineLevel="0" collapsed="false">
      <c r="A19" s="9" t="s">
        <v>30</v>
      </c>
      <c r="B19" s="11" t="n">
        <v>600568</v>
      </c>
      <c r="C19" s="21" t="n">
        <f aca="false">B19/SUM(B12:B19)</f>
        <v>0.00189234662958747</v>
      </c>
    </row>
    <row r="20" customFormat="false" ht="15" hidden="false" customHeight="true" outlineLevel="0" collapsed="false">
      <c r="A20" s="22" t="s">
        <v>45</v>
      </c>
      <c r="B20" s="13" t="n">
        <f aca="false">SUM(B12:B19)</f>
        <v>317366803</v>
      </c>
      <c r="C20" s="23" t="n">
        <f aca="false">SUM(C12:C19)</f>
        <v>1</v>
      </c>
    </row>
  </sheetData>
  <mergeCells count="2">
    <mergeCell ref="A1:C1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2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2026-04-30T17:09:25Z</dcterms:created>
  <dc:creator>openpyxl</dc:creator>
  <dc:description/>
  <dc:language>en-US</dc:language>
  <cp:lastModifiedBy/>
  <dcterms:modified xsi:type="dcterms:W3CDTF">2026-04-30T17:09:54Z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
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mumiy reyting" sheetId="1" state="visible" r:id="rId3"/>
    <sheet name="Sport bo'yicha" sheetId="2" state="visible" r:id="rId4"/>
    <sheet name="Diagrammalar" sheetId="3" state="visible" r:id="rId5"/>
    <sheet name="Medall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<sst xmlns="http://schemas.openxmlformats.org/spreadsheetml/2006/main" count="173" uniqueCount="46">
  <si>
    <t xml:space="preserve">🏆  SPORTCHILAR REYTINGI — 5 SPORT TURI</t>
  </si>
  <si>
    <t xml:space="preserve">O'rin</t>
  </si>
  <si>
    <t xml:space="preserve">Sportchi</t>
  </si>
  <si>
    <t xml:space="preserve">Yugurish</t>
  </si>
  <si>
    <t xml:space="preserve">Suzish</t>
  </si>
  <si>
    <t xml:space="preserve">Voleybol</t>
  </si>
  <si>
    <t xml:space="preserve">Kurash</t>
  </si>
  <si>
    <t xml:space="preserve">Karate</t>
  </si>
  <si>
    <t xml:space="preserve">Jami ball</t>
  </si>
  <si>
    <t xml:space="preserve">Natija</t>
  </si>
  <si>
    <t xml:space="preserve">Dilnoza S.</t>
  </si>
  <si>
    <t xml:space="preserve">🥇 1-o'rin</t>
  </si>
  <si>
    <t xml:space="preserve">Shahlo I.</t>
  </si>
  <si>
    <t xml:space="preserve">🥈 2-o'rin</t>
  </si>
  <si>
    <t xml:space="preserve">Jasur M.</t>
  </si>
  <si>
    <t xml:space="preserve">🥉 3-o'rin</t>
  </si>
  <si>
    <t xml:space="preserve">Humoyun B.</t>
  </si>
  <si>
    <t xml:space="preserve">4-o'rin</t>
  </si>
  <si>
    <t xml:space="preserve">Alisher T.</t>
  </si>
  <si>
    <t xml:space="preserve">5-o'rin</t>
  </si>
  <si>
    <t xml:space="preserve">Malika Y.</t>
  </si>
  <si>
    <t xml:space="preserve">6-o'rin</t>
  </si>
  <si>
    <t xml:space="preserve">Barno K.</t>
  </si>
  <si>
    <t xml:space="preserve">7-o'rin</t>
  </si>
  <si>
    <t xml:space="preserve">Sardor N.</t>
  </si>
  <si>
    <t xml:space="preserve">8-o'rin</t>
  </si>
  <si>
    <t xml:space="preserve">Otabek R.</t>
  </si>
  <si>
    <t xml:space="preserve">9-o'rin</t>
  </si>
  <si>
    <t xml:space="preserve">Zulfiya A.</t>
  </si>
  <si>
    <t xml:space="preserve">10-o'rin</t>
  </si>
  <si>
    <t xml:space="preserve">O'rtacha</t>
  </si>
  <si>
    <t xml:space="preserve">—</t>
  </si>
  <si>
    <t xml:space="preserve">🏅  SPORT TURLARI BO'YICHA REYTING</t>
  </si>
  <si>
    <t xml:space="preserve">  Yugurish</t>
  </si>
  <si>
    <t xml:space="preserve">  Suzish</t>
  </si>
  <si>
    <t xml:space="preserve">  Voleybol</t>
  </si>
  <si>
    <t xml:space="preserve">  Kurash</t>
  </si>
  <si>
    <t xml:space="preserve">  Karate</t>
  </si>
  <si>
    <t xml:space="preserve">Ball</t>
  </si>
  <si>
    <t xml:space="preserve">📊  DIAGRAMMALAR</t>
  </si>
  <si>
    <t xml:space="preserve">Jami</t>
  </si>
  <si>
    <t xml:space="preserve">Sport \ Sportchi</t>
  </si>
  <si>
    <t xml:space="preserve">🥇  1, 2, 3-O'RIN SOHIBLARI</t>
  </si>
  <si>
    <t xml:space="preserve">🥇  1-o'rin</t>
  </si>
  <si>
    <t xml:space="preserve">🥈  2-o'rin</t>
  </si>
  <si>
    <t xml:space="preserve">🥉  3-o'rin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</si>
</sst>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CD7F32"/>
      </patternFill>
    </fill>
    <fill>
      <patternFill patternType="solid">
        <fgColor rgb="FFC00000"/>
        <bgColor rgb="FFFF0000"/>
      </patternFill>
    </fill>
    <fill>
      <patternFill patternType="solid">
        <fgColor rgb="FF7030A0"/>
        <bgColor rgb="FF993366"/>
      </patternFill>
    </fill>
    <fill>
      <patternFill patternType="solid">
        <fgColor rgb="FFFFD700"/>
        <bgColor rgb="FFFFC000"/>
      </patternFill>
    </fill>
    <fill>
      <patternFill patternType="solid">
        <fgColor rgb="FFEBF3FB"/>
        <bgColor rgb="FFF9F9F9"/>
      </patternFill>
    </fill>
    <fill>
      <patternFill patternType="solid">
        <fgColor rgb="FFC0C0C0"/>
        <bgColor rgb="FFBFBFBF"/>
      </patternFill>
    </fill>
    <fill>
      <patternFill patternType="solid">
        <fgColor rgb="FFFFFFFF"/>
        <bgColor rgb="FFF9F9F9"/>
      </patternFill>
    </fill>
    <fill>
      <patternFill patternType="solid">
        <fgColor rgb="FFCD7F32"/>
        <bgColor rgb="FFED7D3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CD7F32"/>
      <rgbColor rgb="FF800080"/>
      <rgbColor rgb="FF008080"/>
      <rgbColor rgb="FFC0C0C0"/>
      <rgbColor rgb="FF878787"/>
      <rgbColor rgb="FF9999FF"/>
      <rgbColor rgb="FF7030A0"/>
      <rgbColor rgb="FFF9F9F9"/>
      <rgbColor rgb="FFEBF3FB"/>
      <rgbColor rgb="FF660066"/>
      <rgbColor rgb="FFFF7F7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A9D18E"/>
      <rgbColor rgb="FFFFFF99"/>
      <rgbColor rgb="FFBFBFBF"/>
      <rgbColor rgb="FFFF99CC"/>
      <rgbColor rgb="FFCC99FF"/>
      <rgbColor rgb="FFFFCC99"/>
      <rgbColor rgb="FF4472C4"/>
      <rgbColor rgb="FF33CCCC"/>
      <rgbColor rgb="FF99CC00"/>
      <rgbColor rgb="FFFFD700"/>
      <rgbColor rgb="FFFFC0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Umumiy ball — barcha sportchilar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Diagrammalar!H3</c:f>
              <c:strCache>
                <c:ptCount val="1"/>
                <c:pt idx="0">
                  <c:v>Jami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Diagrammalar!$A$4:$A$13</c:f>
              <c:strCache>
                <c:ptCount val="10"/>
                <c:pt idx="0">
                  <c:v>Dilnoza S.</c:v>
                </c:pt>
                <c:pt idx="1">
                  <c:v>Shahlo I.</c:v>
                </c:pt>
                <c:pt idx="2">
                  <c:v>Jasur M.</c:v>
                </c:pt>
                <c:pt idx="3">
                  <c:v>Humoyun B.</c:v>
                </c:pt>
                <c:pt idx="4">
                  <c:v>Alisher T.</c:v>
                </c:pt>
                <c:pt idx="5">
                  <c:v>Malika Y.</c:v>
                </c:pt>
                <c:pt idx="6">
                  <c:v>Barno K.</c:v>
                </c:pt>
                <c:pt idx="7">
                  <c:v>Sardor N.</c:v>
                </c:pt>
                <c:pt idx="8">
                  <c:v>Otabek R.</c:v>
                </c:pt>
                <c:pt idx="9">
                  <c:v>Zulfiya A.</c:v>
                </c:pt>
              </c:strCache>
            </c:strRef>
          </c:cat>
          <c:val>
            <c:numRef>
              <c:f>Diagrammalar!$H$4:$H$13</c:f>
              <c:numCache>
                <c:formatCode>General</c:formatCode>
                <c:ptCount val="10"/>
                <c:pt idx="0">
                  <c:v>402</c:v>
                </c:pt>
                <c:pt idx="1">
                  <c:v>401</c:v>
                </c:pt>
                <c:pt idx="2">
                  <c:v>399</c:v>
                </c:pt>
                <c:pt idx="3">
                  <c:v>397</c:v>
                </c:pt>
                <c:pt idx="4">
                  <c:v>396</c:v>
                </c:pt>
                <c:pt idx="5">
                  <c:v>396</c:v>
                </c:pt>
                <c:pt idx="6">
                  <c:v>394</c:v>
                </c:pt>
                <c:pt idx="7">
                  <c:v>392</c:v>
                </c:pt>
                <c:pt idx="8">
                  <c:v>389</c:v>
                </c:pt>
                <c:pt idx="9">
                  <c:v>384</c:v>
                </c:pt>
              </c:numCache>
            </c:numRef>
          </c:val>
        </c:ser>
        <c:gapWidth val="150"/>
        <c:overlap val="0"/>
        <c:axId val="24915440"/>
        <c:axId val="86886285"/>
      </c:barChart>
      <c:catAx>
        <c:axId val="249154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Sportchi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86285"/>
        <c:crosses val="autoZero"/>
        <c:auto val="1"/>
        <c:lblAlgn val="ctr"/>
        <c:lblOffset val="100"/>
        <c:noMultiLvlLbl val="0"/>
      </c:catAx>
      <c:valAx>
        <c:axId val="86886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154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Sport turlari bo'yicha natijalar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Diagrammalar!B34</c:f>
              <c:strCache>
                <c:ptCount val="1"/>
                <c:pt idx="0">
                  <c:v>Dilnoza S.</c:v>
                </c:pt>
              </c:strCache>
            </c:strRef>
          </c:tx>
          <c:spPr>
            <a:solidFill>
              <a:srgbClr val="4472c4"/>
            </a:solidFill>
            <a:ln w="4752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Diagrammalar!$A$35:$A$39</c:f>
              <c:strCache>
                <c:ptCount val="5"/>
                <c:pt idx="0">
                  <c:v>Yugurish</c:v>
                </c:pt>
                <c:pt idx="1">
                  <c:v>Suzish</c:v>
                </c:pt>
                <c:pt idx="2">
                  <c:v>Voleybol</c:v>
                </c:pt>
                <c:pt idx="3">
                  <c:v>Kurash</c:v>
                </c:pt>
                <c:pt idx="4">
                  <c:v>Karate</c:v>
                </c:pt>
              </c:strCache>
            </c:strRef>
          </c:cat>
          <c:val>
            <c:numRef>
              <c:f>Diagrammalar!$B$35:$B$39</c:f>
              <c:numCache>
                <c:formatCode>General</c:formatCode>
                <c:ptCount val="5"/>
                <c:pt idx="0">
                  <c:v>66</c:v>
                </c:pt>
                <c:pt idx="1">
                  <c:v>90</c:v>
                </c:pt>
                <c:pt idx="2">
                  <c:v>82</c:v>
                </c:pt>
                <c:pt idx="3">
                  <c:v>70</c:v>
                </c:pt>
                <c:pt idx="4">
                  <c:v>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Diagrammalar!C34</c:f>
              <c:strCache>
                <c:ptCount val="1"/>
                <c:pt idx="0">
                  <c:v>Shahlo I.</c:v>
                </c:pt>
              </c:strCache>
            </c:strRef>
          </c:tx>
          <c:spPr>
            <a:solidFill>
              <a:srgbClr val="ed7d31"/>
            </a:solidFill>
            <a:ln w="4752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Diagrammalar!$A$35:$A$39</c:f>
              <c:strCache>
                <c:ptCount val="5"/>
                <c:pt idx="0">
                  <c:v>Yugurish</c:v>
                </c:pt>
                <c:pt idx="1">
                  <c:v>Suzish</c:v>
                </c:pt>
                <c:pt idx="2">
                  <c:v>Voleybol</c:v>
                </c:pt>
                <c:pt idx="3">
                  <c:v>Kurash</c:v>
                </c:pt>
                <c:pt idx="4">
                  <c:v>Karate</c:v>
                </c:pt>
              </c:strCache>
            </c:strRef>
          </c:cat>
          <c:val>
            <c:numRef>
              <c:f>Diagrammalar!$C$35:$C$39</c:f>
              <c:numCache>
                <c:formatCode>General</c:formatCode>
                <c:ptCount val="5"/>
                <c:pt idx="0">
                  <c:v>83</c:v>
                </c:pt>
                <c:pt idx="1">
                  <c:v>67</c:v>
                </c:pt>
                <c:pt idx="2">
                  <c:v>76</c:v>
                </c:pt>
                <c:pt idx="3">
                  <c:v>84</c:v>
                </c:pt>
                <c:pt idx="4">
                  <c:v>91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Diagrammalar!D34</c:f>
              <c:strCache>
                <c:ptCount val="1"/>
                <c:pt idx="0">
                  <c:v>Jasur M.</c:v>
                </c:pt>
              </c:strCache>
            </c:strRef>
          </c:tx>
          <c:spPr>
            <a:solidFill>
              <a:srgbClr val="a9d18e"/>
            </a:solidFill>
            <a:ln w="47520">
              <a:solidFill>
                <a:srgbClr val="a9d1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Diagrammalar!$A$35:$A$39</c:f>
              <c:strCache>
                <c:ptCount val="5"/>
                <c:pt idx="0">
                  <c:v>Yugurish</c:v>
                </c:pt>
                <c:pt idx="1">
                  <c:v>Suzish</c:v>
                </c:pt>
                <c:pt idx="2">
                  <c:v>Voleybol</c:v>
                </c:pt>
                <c:pt idx="3">
                  <c:v>Kurash</c:v>
                </c:pt>
                <c:pt idx="4">
                  <c:v>Karate</c:v>
                </c:pt>
              </c:strCache>
            </c:strRef>
          </c:cat>
          <c:val>
            <c:numRef>
              <c:f>Diagrammalar!$D$35:$D$39</c:f>
              <c:numCache>
                <c:formatCode>General</c:formatCode>
                <c:ptCount val="5"/>
                <c:pt idx="0">
                  <c:v>92</c:v>
                </c:pt>
                <c:pt idx="1">
                  <c:v>61</c:v>
                </c:pt>
                <c:pt idx="2">
                  <c:v>75</c:v>
                </c:pt>
                <c:pt idx="3">
                  <c:v>88</c:v>
                </c:pt>
                <c:pt idx="4">
                  <c:v>83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Diagrammalar!E34</c:f>
              <c:strCache>
                <c:ptCount val="1"/>
                <c:pt idx="0">
                  <c:v>Humoyun B.</c:v>
                </c:pt>
              </c:strCache>
            </c:strRef>
          </c:tx>
          <c:spPr>
            <a:solidFill>
              <a:srgbClr val="ff0000"/>
            </a:solidFill>
            <a:ln w="475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Diagrammalar!$A$35:$A$39</c:f>
              <c:strCache>
                <c:ptCount val="5"/>
                <c:pt idx="0">
                  <c:v>Yugurish</c:v>
                </c:pt>
                <c:pt idx="1">
                  <c:v>Suzish</c:v>
                </c:pt>
                <c:pt idx="2">
                  <c:v>Voleybol</c:v>
                </c:pt>
                <c:pt idx="3">
                  <c:v>Kurash</c:v>
                </c:pt>
                <c:pt idx="4">
                  <c:v>Karate</c:v>
                </c:pt>
              </c:strCache>
            </c:strRef>
          </c:cat>
          <c:val>
            <c:numRef>
              <c:f>Diagrammalar!$E$35:$E$39</c:f>
              <c:numCache>
                <c:formatCode>General</c:formatCode>
                <c:ptCount val="5"/>
                <c:pt idx="0">
                  <c:v>62</c:v>
                </c:pt>
                <c:pt idx="1">
                  <c:v>94</c:v>
                </c:pt>
                <c:pt idx="2">
                  <c:v>83</c:v>
                </c:pt>
                <c:pt idx="3">
                  <c:v>72</c:v>
                </c:pt>
                <c:pt idx="4">
                  <c:v>86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Diagrammalar!F34</c:f>
              <c:strCache>
                <c:ptCount val="1"/>
                <c:pt idx="0">
                  <c:v>Alisher T.</c:v>
                </c:pt>
              </c:strCache>
            </c:strRef>
          </c:tx>
          <c:spPr>
            <a:solidFill>
              <a:srgbClr val="7030a0"/>
            </a:solidFill>
            <a:ln w="4752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Diagrammalar!$A$35:$A$39</c:f>
              <c:strCache>
                <c:ptCount val="5"/>
                <c:pt idx="0">
                  <c:v>Yugurish</c:v>
                </c:pt>
                <c:pt idx="1">
                  <c:v>Suzish</c:v>
                </c:pt>
                <c:pt idx="2">
                  <c:v>Voleybol</c:v>
                </c:pt>
                <c:pt idx="3">
                  <c:v>Kurash</c:v>
                </c:pt>
                <c:pt idx="4">
                  <c:v>Karate</c:v>
                </c:pt>
              </c:strCache>
            </c:strRef>
          </c:cat>
          <c:val>
            <c:numRef>
              <c:f>Diagrammalar!$F$35:$F$39</c:f>
              <c:numCache>
                <c:formatCode>General</c:formatCode>
                <c:ptCount val="5"/>
                <c:pt idx="0">
                  <c:v>88</c:v>
                </c:pt>
                <c:pt idx="1">
                  <c:v>72</c:v>
                </c:pt>
                <c:pt idx="2">
                  <c:v>91</c:v>
                </c:pt>
                <c:pt idx="3">
                  <c:v>65</c:v>
                </c:pt>
                <c:pt idx="4">
                  <c:v>80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Diagrammalar!G34</c:f>
              <c:strCache>
                <c:ptCount val="1"/>
                <c:pt idx="0">
                  <c:v>Malika Y.</c:v>
                </c:pt>
              </c:strCache>
            </c:strRef>
          </c:tx>
          <c:spPr>
            <a:solidFill>
              <a:srgbClr val="70ad47"/>
            </a:solidFill>
            <a:ln w="475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Diagrammalar!$A$35:$A$39</c:f>
              <c:strCache>
                <c:ptCount val="5"/>
                <c:pt idx="0">
                  <c:v>Yugurish</c:v>
                </c:pt>
                <c:pt idx="1">
                  <c:v>Suzish</c:v>
                </c:pt>
                <c:pt idx="2">
                  <c:v>Voleybol</c:v>
                </c:pt>
                <c:pt idx="3">
                  <c:v>Kurash</c:v>
                </c:pt>
                <c:pt idx="4">
                  <c:v>Karate</c:v>
                </c:pt>
              </c:strCache>
            </c:strRef>
          </c:cat>
          <c:val>
            <c:numRef>
              <c:f>Diagrammalar!$G$35:$G$39</c:f>
              <c:numCache>
                <c:formatCode>General</c:formatCode>
                <c:ptCount val="5"/>
                <c:pt idx="0">
                  <c:v>70</c:v>
                </c:pt>
                <c:pt idx="1">
                  <c:v>88</c:v>
                </c:pt>
                <c:pt idx="2">
                  <c:v>64</c:v>
                </c:pt>
                <c:pt idx="3">
                  <c:v>85</c:v>
                </c:pt>
                <c:pt idx="4">
                  <c:v>89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Diagrammalar!H34</c:f>
              <c:strCache>
                <c:ptCount val="1"/>
                <c:pt idx="0">
                  <c:v>Barno K.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Diagrammalar!$A$35:$A$39</c:f>
              <c:strCache>
                <c:ptCount val="5"/>
                <c:pt idx="0">
                  <c:v>Yugurish</c:v>
                </c:pt>
                <c:pt idx="1">
                  <c:v>Suzish</c:v>
                </c:pt>
                <c:pt idx="2">
                  <c:v>Voleybol</c:v>
                </c:pt>
                <c:pt idx="3">
                  <c:v>Kurash</c:v>
                </c:pt>
                <c:pt idx="4">
                  <c:v>Karate</c:v>
                </c:pt>
              </c:strCache>
            </c:strRef>
          </c:cat>
          <c:val>
            <c:numRef>
              <c:f>Diagrammalar!$H$35:$H$39</c:f>
              <c:numCache>
                <c:formatCode>General</c:formatCode>
                <c:ptCount val="5"/>
                <c:pt idx="0">
                  <c:v>74</c:v>
                </c:pt>
                <c:pt idx="1">
                  <c:v>85</c:v>
                </c:pt>
                <c:pt idx="2">
                  <c:v>68</c:v>
                </c:pt>
                <c:pt idx="3">
                  <c:v>90</c:v>
                </c:pt>
                <c:pt idx="4">
                  <c:v>77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Diagrammalar!I34</c:f>
              <c:strCache>
                <c:ptCount val="1"/>
                <c:pt idx="0">
                  <c:v>Sardor N.</c:v>
                </c:pt>
              </c:strCache>
            </c:strRef>
          </c:tx>
          <c:spPr>
            <a:solidFill>
              <a:srgbClr val="ffc000"/>
            </a:solidFill>
            <a:ln w="4752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Diagrammalar!$A$35:$A$39</c:f>
              <c:strCache>
                <c:ptCount val="5"/>
                <c:pt idx="0">
                  <c:v>Yugurish</c:v>
                </c:pt>
                <c:pt idx="1">
                  <c:v>Suzish</c:v>
                </c:pt>
                <c:pt idx="2">
                  <c:v>Voleybol</c:v>
                </c:pt>
                <c:pt idx="3">
                  <c:v>Kurash</c:v>
                </c:pt>
                <c:pt idx="4">
                  <c:v>Karate</c:v>
                </c:pt>
              </c:strCache>
            </c:strRef>
          </c:cat>
          <c:val>
            <c:numRef>
              <c:f>Diagrammalar!$I$35:$I$39</c:f>
              <c:numCache>
                <c:formatCode>General</c:formatCode>
                <c:ptCount val="5"/>
                <c:pt idx="0">
                  <c:v>79</c:v>
                </c:pt>
                <c:pt idx="1">
                  <c:v>65</c:v>
                </c:pt>
                <c:pt idx="2">
                  <c:v>87</c:v>
                </c:pt>
                <c:pt idx="3">
                  <c:v>93</c:v>
                </c:pt>
                <c:pt idx="4">
                  <c:v>68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Diagrammalar!J34</c:f>
              <c:strCache>
                <c:ptCount val="1"/>
                <c:pt idx="0">
                  <c:v>Otabek R.</c:v>
                </c:pt>
              </c:strCache>
            </c:strRef>
          </c:tx>
          <c:spPr>
            <a:solidFill>
              <a:srgbClr val="00b0f0"/>
            </a:solidFill>
            <a:ln w="4752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Diagrammalar!$A$35:$A$39</c:f>
              <c:strCache>
                <c:ptCount val="5"/>
                <c:pt idx="0">
                  <c:v>Yugurish</c:v>
                </c:pt>
                <c:pt idx="1">
                  <c:v>Suzish</c:v>
                </c:pt>
                <c:pt idx="2">
                  <c:v>Voleybol</c:v>
                </c:pt>
                <c:pt idx="3">
                  <c:v>Kurash</c:v>
                </c:pt>
                <c:pt idx="4">
                  <c:v>Karate</c:v>
                </c:pt>
              </c:strCache>
            </c:strRef>
          </c:cat>
          <c:val>
            <c:numRef>
              <c:f>Diagrammalar!$J$35:$J$39</c:f>
              <c:numCache>
                <c:formatCode>General</c:formatCode>
                <c:ptCount val="5"/>
                <c:pt idx="0">
                  <c:v>85</c:v>
                </c:pt>
                <c:pt idx="1">
                  <c:v>78</c:v>
                </c:pt>
                <c:pt idx="2">
                  <c:v>95</c:v>
                </c:pt>
                <c:pt idx="3">
                  <c:v>60</c:v>
                </c:pt>
                <c:pt idx="4">
                  <c:v>71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Diagrammalar!K34</c:f>
              <c:strCache>
                <c:ptCount val="1"/>
                <c:pt idx="0">
                  <c:v>Zulfiya A.</c:v>
                </c:pt>
              </c:strCache>
            </c:strRef>
          </c:tx>
          <c:spPr>
            <a:solidFill>
              <a:srgbClr val="ff7f7f"/>
            </a:solidFill>
            <a:ln w="47520">
              <a:solidFill>
                <a:srgbClr val="f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Diagrammalar!$A$35:$A$39</c:f>
              <c:strCache>
                <c:ptCount val="5"/>
                <c:pt idx="0">
                  <c:v>Yugurish</c:v>
                </c:pt>
                <c:pt idx="1">
                  <c:v>Suzish</c:v>
                </c:pt>
                <c:pt idx="2">
                  <c:v>Voleybol</c:v>
                </c:pt>
                <c:pt idx="3">
                  <c:v>Kurash</c:v>
                </c:pt>
                <c:pt idx="4">
                  <c:v>Karate</c:v>
                </c:pt>
              </c:strCache>
            </c:strRef>
          </c:cat>
          <c:val>
            <c:numRef>
              <c:f>Diagrammalar!$K$35:$K$39</c:f>
              <c:numCache>
                <c:formatCode>General</c:formatCode>
                <c:ptCount val="5"/>
                <c:pt idx="0">
                  <c:v>95</c:v>
                </c:pt>
                <c:pt idx="1">
                  <c:v>80</c:v>
                </c:pt>
                <c:pt idx="2">
                  <c:v>70</c:v>
                </c:pt>
                <c:pt idx="3">
                  <c:v>77</c:v>
                </c:pt>
                <c:pt idx="4">
                  <c:v>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64740"/>
        <c:axId val="47108905"/>
      </c:lineChart>
      <c:catAx>
        <c:axId val="97647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Sport turi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08905"/>
        <c:crosses val="autoZero"/>
        <c:auto val="1"/>
        <c:lblAlgn val="ctr"/>
        <c:lblOffset val="100"/>
        <c:noMultiLvlLbl val="0"/>
      </c:catAx>
      <c:valAx>
        <c:axId val="47108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47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9</xdr:col>
      <xdr:colOff>307080</xdr:colOff>
      <xdr:row>40</xdr:row>
      <xdr:rowOff>86760</xdr:rowOff>
    </xdr:to>
    <xdr:graphicFrame>
      <xdr:nvGraphicFramePr>
        <xdr:cNvPr id="0" name="Chart 1"/>
        <xdr:cNvGraphicFramePr/>
      </xdr:nvGraphicFramePr>
      <xdr:xfrm>
        <a:off x="0" y="29052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14</xdr:row>
      <xdr:rowOff>0</xdr:rowOff>
    </xdr:from>
    <xdr:to>
      <xdr:col>23</xdr:col>
      <xdr:colOff>581760</xdr:colOff>
      <xdr:row>40</xdr:row>
      <xdr:rowOff>86760</xdr:rowOff>
    </xdr:to>
    <xdr:graphicFrame>
      <xdr:nvGraphicFramePr>
        <xdr:cNvPr id="1" name="Chart 2"/>
        <xdr:cNvGraphicFramePr/>
      </xdr:nvGraphicFramePr>
      <xdr:xfrm>
        <a:off x="9304200" y="29052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7" min="3" style="0" width="11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2" t="s">
        <v>8</v>
      </c>
      <c r="I2" s="2" t="s">
        <v>9</v>
      </c>
    </row>
    <row r="3" customFormat="false" ht="21.75" hidden="false" customHeight="true" outlineLevel="0" collapsed="false">
      <c r="A3" s="8" t="n">
        <v>1</v>
      </c>
      <c r="B3" s="9" t="s">
        <v>10</v>
      </c>
      <c r="C3" s="10" t="n">
        <v>66</v>
      </c>
      <c r="D3" s="10" t="n">
        <v>90</v>
      </c>
      <c r="E3" s="10" t="n">
        <v>82</v>
      </c>
      <c r="F3" s="10" t="n">
        <v>70</v>
      </c>
      <c r="G3" s="10" t="n">
        <v>94</v>
      </c>
      <c r="H3" s="11" t="n">
        <f aca="false">SUM(C3:G3)</f>
        <v>402</v>
      </c>
      <c r="I3" s="11" t="s">
        <v>11</v>
      </c>
    </row>
    <row r="4" customFormat="false" ht="21.75" hidden="false" customHeight="true" outlineLevel="0" collapsed="false">
      <c r="A4" s="12" t="n">
        <v>2</v>
      </c>
      <c r="B4" s="13" t="s">
        <v>12</v>
      </c>
      <c r="C4" s="14" t="n">
        <v>83</v>
      </c>
      <c r="D4" s="14" t="n">
        <v>67</v>
      </c>
      <c r="E4" s="14" t="n">
        <v>76</v>
      </c>
      <c r="F4" s="14" t="n">
        <v>84</v>
      </c>
      <c r="G4" s="14" t="n">
        <v>91</v>
      </c>
      <c r="H4" s="15" t="n">
        <f aca="false">SUM(C4:G4)</f>
        <v>401</v>
      </c>
      <c r="I4" s="15" t="s">
        <v>13</v>
      </c>
    </row>
    <row r="5" customFormat="false" ht="21.75" hidden="false" customHeight="true" outlineLevel="0" collapsed="false">
      <c r="A5" s="16" t="n">
        <v>3</v>
      </c>
      <c r="B5" s="9" t="s">
        <v>14</v>
      </c>
      <c r="C5" s="10" t="n">
        <v>92</v>
      </c>
      <c r="D5" s="10" t="n">
        <v>61</v>
      </c>
      <c r="E5" s="10" t="n">
        <v>75</v>
      </c>
      <c r="F5" s="10" t="n">
        <v>88</v>
      </c>
      <c r="G5" s="10" t="n">
        <v>83</v>
      </c>
      <c r="H5" s="11" t="n">
        <f aca="false">SUM(C5:G5)</f>
        <v>399</v>
      </c>
      <c r="I5" s="11" t="s">
        <v>15</v>
      </c>
    </row>
    <row r="6" customFormat="false" ht="21.75" hidden="false" customHeight="true" outlineLevel="0" collapsed="false">
      <c r="A6" s="17" t="n">
        <v>4</v>
      </c>
      <c r="B6" s="18" t="s">
        <v>16</v>
      </c>
      <c r="C6" s="14" t="n">
        <v>62</v>
      </c>
      <c r="D6" s="14" t="n">
        <v>94</v>
      </c>
      <c r="E6" s="14" t="n">
        <v>83</v>
      </c>
      <c r="F6" s="14" t="n">
        <v>72</v>
      </c>
      <c r="G6" s="14" t="n">
        <v>86</v>
      </c>
      <c r="H6" s="15" t="n">
        <f aca="false">SUM(C6:G6)</f>
        <v>397</v>
      </c>
      <c r="I6" s="14" t="s">
        <v>17</v>
      </c>
    </row>
    <row r="7" customFormat="false" ht="21.75" hidden="false" customHeight="true" outlineLevel="0" collapsed="false">
      <c r="A7" s="19" t="n">
        <v>5</v>
      </c>
      <c r="B7" s="20" t="s">
        <v>18</v>
      </c>
      <c r="C7" s="10" t="n">
        <v>88</v>
      </c>
      <c r="D7" s="10" t="n">
        <v>72</v>
      </c>
      <c r="E7" s="10" t="n">
        <v>91</v>
      </c>
      <c r="F7" s="10" t="n">
        <v>65</v>
      </c>
      <c r="G7" s="10" t="n">
        <v>80</v>
      </c>
      <c r="H7" s="11" t="n">
        <f aca="false">SUM(C7:G7)</f>
        <v>396</v>
      </c>
      <c r="I7" s="10" t="s">
        <v>19</v>
      </c>
    </row>
    <row r="8" customFormat="false" ht="21.75" hidden="false" customHeight="true" outlineLevel="0" collapsed="false">
      <c r="A8" s="17" t="n">
        <v>6</v>
      </c>
      <c r="B8" s="18" t="s">
        <v>20</v>
      </c>
      <c r="C8" s="14" t="n">
        <v>70</v>
      </c>
      <c r="D8" s="14" t="n">
        <v>88</v>
      </c>
      <c r="E8" s="14" t="n">
        <v>64</v>
      </c>
      <c r="F8" s="14" t="n">
        <v>85</v>
      </c>
      <c r="G8" s="14" t="n">
        <v>89</v>
      </c>
      <c r="H8" s="15" t="n">
        <f aca="false">SUM(C8:G8)</f>
        <v>396</v>
      </c>
      <c r="I8" s="14" t="s">
        <v>21</v>
      </c>
    </row>
    <row r="9" customFormat="false" ht="21.75" hidden="false" customHeight="true" outlineLevel="0" collapsed="false">
      <c r="A9" s="19" t="n">
        <v>7</v>
      </c>
      <c r="B9" s="20" t="s">
        <v>22</v>
      </c>
      <c r="C9" s="10" t="n">
        <v>74</v>
      </c>
      <c r="D9" s="10" t="n">
        <v>85</v>
      </c>
      <c r="E9" s="10" t="n">
        <v>68</v>
      </c>
      <c r="F9" s="10" t="n">
        <v>90</v>
      </c>
      <c r="G9" s="10" t="n">
        <v>77</v>
      </c>
      <c r="H9" s="11" t="n">
        <f aca="false">SUM(C9:G9)</f>
        <v>394</v>
      </c>
      <c r="I9" s="10" t="s">
        <v>23</v>
      </c>
    </row>
    <row r="10" customFormat="false" ht="21.75" hidden="false" customHeight="true" outlineLevel="0" collapsed="false">
      <c r="A10" s="17" t="n">
        <v>8</v>
      </c>
      <c r="B10" s="18" t="s">
        <v>24</v>
      </c>
      <c r="C10" s="14" t="n">
        <v>79</v>
      </c>
      <c r="D10" s="14" t="n">
        <v>65</v>
      </c>
      <c r="E10" s="14" t="n">
        <v>87</v>
      </c>
      <c r="F10" s="14" t="n">
        <v>93</v>
      </c>
      <c r="G10" s="14" t="n">
        <v>68</v>
      </c>
      <c r="H10" s="15" t="n">
        <f aca="false">SUM(C10:G10)</f>
        <v>392</v>
      </c>
      <c r="I10" s="14" t="s">
        <v>25</v>
      </c>
    </row>
    <row r="11" customFormat="false" ht="21.75" hidden="false" customHeight="true" outlineLevel="0" collapsed="false">
      <c r="A11" s="19" t="n">
        <v>9</v>
      </c>
      <c r="B11" s="20" t="s">
        <v>26</v>
      </c>
      <c r="C11" s="10" t="n">
        <v>85</v>
      </c>
      <c r="D11" s="10" t="n">
        <v>78</v>
      </c>
      <c r="E11" s="10" t="n">
        <v>95</v>
      </c>
      <c r="F11" s="10" t="n">
        <v>60</v>
      </c>
      <c r="G11" s="10" t="n">
        <v>71</v>
      </c>
      <c r="H11" s="11" t="n">
        <f aca="false">SUM(C11:G11)</f>
        <v>389</v>
      </c>
      <c r="I11" s="10" t="s">
        <v>27</v>
      </c>
    </row>
    <row r="12" customFormat="false" ht="21.75" hidden="false" customHeight="true" outlineLevel="0" collapsed="false">
      <c r="A12" s="17" t="n">
        <v>10</v>
      </c>
      <c r="B12" s="18" t="s">
        <v>28</v>
      </c>
      <c r="C12" s="14" t="n">
        <v>95</v>
      </c>
      <c r="D12" s="14" t="n">
        <v>80</v>
      </c>
      <c r="E12" s="14" t="n">
        <v>70</v>
      </c>
      <c r="F12" s="14" t="n">
        <v>77</v>
      </c>
      <c r="G12" s="14" t="n">
        <v>62</v>
      </c>
      <c r="H12" s="15" t="n">
        <f aca="false">SUM(C12:G12)</f>
        <v>384</v>
      </c>
      <c r="I12" s="14" t="s">
        <v>29</v>
      </c>
    </row>
    <row r="13" customFormat="false" ht="15" hidden="false" customHeight="false" outlineLevel="0" collapsed="false">
      <c r="A13" s="21" t="s">
        <v>30</v>
      </c>
      <c r="B13" s="22" t="s">
        <v>31</v>
      </c>
      <c r="C13" s="23" t="n">
        <f aca="false">AVERAGE(C3:C12)</f>
        <v>79.4</v>
      </c>
      <c r="D13" s="23" t="n">
        <f aca="false">AVERAGE(D3:D12)</f>
        <v>78</v>
      </c>
      <c r="E13" s="23" t="n">
        <f aca="false">AVERAGE(E3:E12)</f>
        <v>79.1</v>
      </c>
      <c r="F13" s="23" t="n">
        <f aca="false">AVERAGE(F3:F12)</f>
        <v>78.4</v>
      </c>
      <c r="G13" s="23" t="n">
        <f aca="false">AVERAGE(G3:G12)</f>
        <v>80.1</v>
      </c>
      <c r="H13" s="23" t="n">
        <f aca="false">AVERAGE(H3:H12)</f>
        <v>395</v>
      </c>
      <c r="I13" s="24"/>
    </row>
  </sheetData>
  <mergeCells count="1">
    <mergeCell ref="A1:I1"/>
  </mergeCells>
  <conditionalFormatting sqref="C3:G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2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2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2"/>
    <col collapsed="false" customWidth="true" hidden="false" outlineLevel="0" max="13" min="13" style="0" width="7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2"/>
    <col collapsed="false" customWidth="true" hidden="false" outlineLevel="0" max="17" min="17" style="0" width="7"/>
    <col collapsed="false" customWidth="true" hidden="false" outlineLevel="0" max="18" min="18" style="0" width="14"/>
    <col collapsed="false" customWidth="true" hidden="false" outlineLevel="0" max="19" min="19" style="0" width="9"/>
  </cols>
  <sheetData>
    <row r="1" customFormat="false" ht="33.75" hidden="false" customHeight="true" outlineLevel="0" collapsed="false">
      <c r="A1" s="25" t="s">
        <v>32</v>
      </c>
      <c r="B1" s="25"/>
      <c r="C1" s="25"/>
      <c r="D1" s="25"/>
      <c r="E1" s="25"/>
    </row>
    <row r="2" customFormat="false" ht="27.75" hidden="false" customHeight="true" outlineLevel="0" collapsed="false">
      <c r="A2" s="26" t="s">
        <v>33</v>
      </c>
      <c r="B2" s="26"/>
      <c r="C2" s="26"/>
      <c r="E2" s="27" t="s">
        <v>34</v>
      </c>
      <c r="F2" s="27"/>
      <c r="G2" s="27"/>
      <c r="I2" s="28" t="s">
        <v>35</v>
      </c>
      <c r="J2" s="28"/>
      <c r="K2" s="28"/>
      <c r="M2" s="29" t="s">
        <v>36</v>
      </c>
      <c r="N2" s="29"/>
      <c r="O2" s="29"/>
      <c r="Q2" s="30" t="s">
        <v>37</v>
      </c>
      <c r="R2" s="30"/>
      <c r="S2" s="30"/>
    </row>
    <row r="3" customFormat="false" ht="21.75" hidden="false" customHeight="true" outlineLevel="0" collapsed="false">
      <c r="A3" s="31" t="s">
        <v>1</v>
      </c>
      <c r="B3" s="31" t="s">
        <v>2</v>
      </c>
      <c r="C3" s="31" t="s">
        <v>38</v>
      </c>
      <c r="E3" s="31" t="s">
        <v>1</v>
      </c>
      <c r="F3" s="31" t="s">
        <v>2</v>
      </c>
      <c r="G3" s="31" t="s">
        <v>38</v>
      </c>
      <c r="I3" s="31" t="s">
        <v>1</v>
      </c>
      <c r="J3" s="31" t="s">
        <v>2</v>
      </c>
      <c r="K3" s="31" t="s">
        <v>38</v>
      </c>
      <c r="M3" s="31" t="s">
        <v>1</v>
      </c>
      <c r="N3" s="31" t="s">
        <v>2</v>
      </c>
      <c r="O3" s="31" t="s">
        <v>38</v>
      </c>
      <c r="Q3" s="31" t="s">
        <v>1</v>
      </c>
      <c r="R3" s="31" t="s">
        <v>2</v>
      </c>
      <c r="S3" s="31" t="s">
        <v>38</v>
      </c>
    </row>
    <row r="4" customFormat="false" ht="19.5" hidden="false" customHeight="true" outlineLevel="0" collapsed="false">
      <c r="A4" s="8" t="n">
        <v>1</v>
      </c>
      <c r="B4" s="32" t="s">
        <v>28</v>
      </c>
      <c r="C4" s="33" t="n">
        <v>95</v>
      </c>
      <c r="E4" s="8" t="n">
        <v>1</v>
      </c>
      <c r="F4" s="32" t="s">
        <v>16</v>
      </c>
      <c r="G4" s="33" t="n">
        <v>94</v>
      </c>
      <c r="I4" s="8" t="n">
        <v>1</v>
      </c>
      <c r="J4" s="32" t="s">
        <v>26</v>
      </c>
      <c r="K4" s="33" t="n">
        <v>95</v>
      </c>
      <c r="M4" s="8" t="n">
        <v>1</v>
      </c>
      <c r="N4" s="32" t="s">
        <v>24</v>
      </c>
      <c r="O4" s="33" t="n">
        <v>93</v>
      </c>
      <c r="Q4" s="8" t="n">
        <v>1</v>
      </c>
      <c r="R4" s="32" t="s">
        <v>10</v>
      </c>
      <c r="S4" s="33" t="n">
        <v>94</v>
      </c>
    </row>
    <row r="5" customFormat="false" ht="19.5" hidden="false" customHeight="true" outlineLevel="0" collapsed="false">
      <c r="A5" s="12" t="n">
        <v>2</v>
      </c>
      <c r="B5" s="34" t="s">
        <v>14</v>
      </c>
      <c r="C5" s="35" t="n">
        <v>92</v>
      </c>
      <c r="E5" s="12" t="n">
        <v>2</v>
      </c>
      <c r="F5" s="34" t="s">
        <v>10</v>
      </c>
      <c r="G5" s="35" t="n">
        <v>90</v>
      </c>
      <c r="I5" s="12" t="n">
        <v>2</v>
      </c>
      <c r="J5" s="34" t="s">
        <v>18</v>
      </c>
      <c r="K5" s="35" t="n">
        <v>91</v>
      </c>
      <c r="M5" s="12" t="n">
        <v>2</v>
      </c>
      <c r="N5" s="34" t="s">
        <v>22</v>
      </c>
      <c r="O5" s="35" t="n">
        <v>90</v>
      </c>
      <c r="Q5" s="12" t="n">
        <v>2</v>
      </c>
      <c r="R5" s="34" t="s">
        <v>12</v>
      </c>
      <c r="S5" s="35" t="n">
        <v>91</v>
      </c>
    </row>
    <row r="6" customFormat="false" ht="19.5" hidden="false" customHeight="true" outlineLevel="0" collapsed="false">
      <c r="A6" s="16" t="n">
        <v>3</v>
      </c>
      <c r="B6" s="32" t="s">
        <v>18</v>
      </c>
      <c r="C6" s="33" t="n">
        <v>88</v>
      </c>
      <c r="E6" s="16" t="n">
        <v>3</v>
      </c>
      <c r="F6" s="32" t="s">
        <v>20</v>
      </c>
      <c r="G6" s="33" t="n">
        <v>88</v>
      </c>
      <c r="I6" s="16" t="n">
        <v>3</v>
      </c>
      <c r="J6" s="32" t="s">
        <v>24</v>
      </c>
      <c r="K6" s="33" t="n">
        <v>87</v>
      </c>
      <c r="M6" s="16" t="n">
        <v>3</v>
      </c>
      <c r="N6" s="32" t="s">
        <v>14</v>
      </c>
      <c r="O6" s="33" t="n">
        <v>88</v>
      </c>
      <c r="Q6" s="16" t="n">
        <v>3</v>
      </c>
      <c r="R6" s="32" t="s">
        <v>20</v>
      </c>
      <c r="S6" s="33" t="n">
        <v>89</v>
      </c>
    </row>
    <row r="7" customFormat="false" ht="19.5" hidden="false" customHeight="true" outlineLevel="0" collapsed="false">
      <c r="A7" s="19" t="n">
        <v>4</v>
      </c>
      <c r="B7" s="36" t="s">
        <v>26</v>
      </c>
      <c r="C7" s="37" t="n">
        <v>85</v>
      </c>
      <c r="E7" s="19" t="n">
        <v>4</v>
      </c>
      <c r="F7" s="36" t="s">
        <v>22</v>
      </c>
      <c r="G7" s="37" t="n">
        <v>85</v>
      </c>
      <c r="I7" s="19" t="n">
        <v>4</v>
      </c>
      <c r="J7" s="36" t="s">
        <v>16</v>
      </c>
      <c r="K7" s="37" t="n">
        <v>83</v>
      </c>
      <c r="M7" s="19" t="n">
        <v>4</v>
      </c>
      <c r="N7" s="36" t="s">
        <v>20</v>
      </c>
      <c r="O7" s="37" t="n">
        <v>85</v>
      </c>
      <c r="Q7" s="19" t="n">
        <v>4</v>
      </c>
      <c r="R7" s="36" t="s">
        <v>16</v>
      </c>
      <c r="S7" s="37" t="n">
        <v>86</v>
      </c>
    </row>
    <row r="8" customFormat="false" ht="19.5" hidden="false" customHeight="true" outlineLevel="0" collapsed="false">
      <c r="A8" s="17" t="n">
        <v>5</v>
      </c>
      <c r="B8" s="38" t="s">
        <v>12</v>
      </c>
      <c r="C8" s="39" t="n">
        <v>83</v>
      </c>
      <c r="E8" s="17" t="n">
        <v>5</v>
      </c>
      <c r="F8" s="38" t="s">
        <v>28</v>
      </c>
      <c r="G8" s="39" t="n">
        <v>80</v>
      </c>
      <c r="I8" s="17" t="n">
        <v>5</v>
      </c>
      <c r="J8" s="38" t="s">
        <v>10</v>
      </c>
      <c r="K8" s="39" t="n">
        <v>82</v>
      </c>
      <c r="M8" s="17" t="n">
        <v>5</v>
      </c>
      <c r="N8" s="38" t="s">
        <v>12</v>
      </c>
      <c r="O8" s="39" t="n">
        <v>84</v>
      </c>
      <c r="Q8" s="17" t="n">
        <v>5</v>
      </c>
      <c r="R8" s="38" t="s">
        <v>14</v>
      </c>
      <c r="S8" s="39" t="n">
        <v>83</v>
      </c>
    </row>
    <row r="9" customFormat="false" ht="19.5" hidden="false" customHeight="true" outlineLevel="0" collapsed="false">
      <c r="A9" s="19" t="n">
        <v>6</v>
      </c>
      <c r="B9" s="36" t="s">
        <v>24</v>
      </c>
      <c r="C9" s="37" t="n">
        <v>79</v>
      </c>
      <c r="E9" s="19" t="n">
        <v>6</v>
      </c>
      <c r="F9" s="36" t="s">
        <v>26</v>
      </c>
      <c r="G9" s="37" t="n">
        <v>78</v>
      </c>
      <c r="I9" s="19" t="n">
        <v>6</v>
      </c>
      <c r="J9" s="36" t="s">
        <v>12</v>
      </c>
      <c r="K9" s="37" t="n">
        <v>76</v>
      </c>
      <c r="M9" s="19" t="n">
        <v>6</v>
      </c>
      <c r="N9" s="36" t="s">
        <v>28</v>
      </c>
      <c r="O9" s="37" t="n">
        <v>77</v>
      </c>
      <c r="Q9" s="19" t="n">
        <v>6</v>
      </c>
      <c r="R9" s="36" t="s">
        <v>18</v>
      </c>
      <c r="S9" s="37" t="n">
        <v>80</v>
      </c>
    </row>
    <row r="10" customFormat="false" ht="19.5" hidden="false" customHeight="true" outlineLevel="0" collapsed="false">
      <c r="A10" s="17" t="n">
        <v>7</v>
      </c>
      <c r="B10" s="38" t="s">
        <v>22</v>
      </c>
      <c r="C10" s="39" t="n">
        <v>74</v>
      </c>
      <c r="E10" s="17" t="n">
        <v>7</v>
      </c>
      <c r="F10" s="38" t="s">
        <v>18</v>
      </c>
      <c r="G10" s="39" t="n">
        <v>72</v>
      </c>
      <c r="I10" s="17" t="n">
        <v>7</v>
      </c>
      <c r="J10" s="38" t="s">
        <v>14</v>
      </c>
      <c r="K10" s="39" t="n">
        <v>75</v>
      </c>
      <c r="M10" s="17" t="n">
        <v>7</v>
      </c>
      <c r="N10" s="38" t="s">
        <v>16</v>
      </c>
      <c r="O10" s="39" t="n">
        <v>72</v>
      </c>
      <c r="Q10" s="17" t="n">
        <v>7</v>
      </c>
      <c r="R10" s="38" t="s">
        <v>22</v>
      </c>
      <c r="S10" s="39" t="n">
        <v>77</v>
      </c>
    </row>
    <row r="11" customFormat="false" ht="19.5" hidden="false" customHeight="true" outlineLevel="0" collapsed="false">
      <c r="A11" s="19" t="n">
        <v>8</v>
      </c>
      <c r="B11" s="36" t="s">
        <v>20</v>
      </c>
      <c r="C11" s="37" t="n">
        <v>70</v>
      </c>
      <c r="E11" s="19" t="n">
        <v>8</v>
      </c>
      <c r="F11" s="36" t="s">
        <v>12</v>
      </c>
      <c r="G11" s="37" t="n">
        <v>67</v>
      </c>
      <c r="I11" s="19" t="n">
        <v>8</v>
      </c>
      <c r="J11" s="36" t="s">
        <v>28</v>
      </c>
      <c r="K11" s="37" t="n">
        <v>70</v>
      </c>
      <c r="M11" s="19" t="n">
        <v>8</v>
      </c>
      <c r="N11" s="36" t="s">
        <v>10</v>
      </c>
      <c r="O11" s="37" t="n">
        <v>70</v>
      </c>
      <c r="Q11" s="19" t="n">
        <v>8</v>
      </c>
      <c r="R11" s="36" t="s">
        <v>26</v>
      </c>
      <c r="S11" s="37" t="n">
        <v>71</v>
      </c>
    </row>
    <row r="12" customFormat="false" ht="19.5" hidden="false" customHeight="true" outlineLevel="0" collapsed="false">
      <c r="A12" s="17" t="n">
        <v>9</v>
      </c>
      <c r="B12" s="38" t="s">
        <v>10</v>
      </c>
      <c r="C12" s="39" t="n">
        <v>66</v>
      </c>
      <c r="E12" s="17" t="n">
        <v>9</v>
      </c>
      <c r="F12" s="38" t="s">
        <v>24</v>
      </c>
      <c r="G12" s="39" t="n">
        <v>65</v>
      </c>
      <c r="I12" s="17" t="n">
        <v>9</v>
      </c>
      <c r="J12" s="38" t="s">
        <v>22</v>
      </c>
      <c r="K12" s="39" t="n">
        <v>68</v>
      </c>
      <c r="M12" s="17" t="n">
        <v>9</v>
      </c>
      <c r="N12" s="38" t="s">
        <v>18</v>
      </c>
      <c r="O12" s="39" t="n">
        <v>65</v>
      </c>
      <c r="Q12" s="17" t="n">
        <v>9</v>
      </c>
      <c r="R12" s="38" t="s">
        <v>24</v>
      </c>
      <c r="S12" s="39" t="n">
        <v>68</v>
      </c>
    </row>
    <row r="13" customFormat="false" ht="19.5" hidden="false" customHeight="true" outlineLevel="0" collapsed="false">
      <c r="A13" s="19" t="n">
        <v>10</v>
      </c>
      <c r="B13" s="36" t="s">
        <v>16</v>
      </c>
      <c r="C13" s="37" t="n">
        <v>62</v>
      </c>
      <c r="E13" s="19" t="n">
        <v>10</v>
      </c>
      <c r="F13" s="36" t="s">
        <v>14</v>
      </c>
      <c r="G13" s="37" t="n">
        <v>61</v>
      </c>
      <c r="I13" s="19" t="n">
        <v>10</v>
      </c>
      <c r="J13" s="36" t="s">
        <v>20</v>
      </c>
      <c r="K13" s="37" t="n">
        <v>64</v>
      </c>
      <c r="M13" s="19" t="n">
        <v>10</v>
      </c>
      <c r="N13" s="36" t="s">
        <v>26</v>
      </c>
      <c r="O13" s="37" t="n">
        <v>60</v>
      </c>
      <c r="Q13" s="19" t="n">
        <v>10</v>
      </c>
      <c r="R13" s="36" t="s">
        <v>28</v>
      </c>
      <c r="S13" s="37" t="n">
        <v>62</v>
      </c>
    </row>
  </sheetData>
  <mergeCells count="6">
    <mergeCell ref="A1:E1"/>
    <mergeCell ref="A2:C2"/>
    <mergeCell ref="E2:G2"/>
    <mergeCell ref="I2:K2"/>
    <mergeCell ref="M2:O2"/>
    <mergeCell ref="Q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2"/>
  </cols>
  <sheetData>
    <row r="1" customFormat="false" ht="33.75" hidden="false" customHeight="true" outlineLevel="0" collapsed="false">
      <c r="A1" s="25" t="s">
        <v>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3" customFormat="false" ht="15" hidden="false" customHeight="false" outlineLevel="0" collapsed="false">
      <c r="A3" s="40" t="s">
        <v>2</v>
      </c>
      <c r="B3" s="40" t="s">
        <v>3</v>
      </c>
      <c r="C3" s="40" t="s">
        <v>4</v>
      </c>
      <c r="D3" s="40" t="s">
        <v>5</v>
      </c>
      <c r="E3" s="40" t="s">
        <v>6</v>
      </c>
      <c r="F3" s="40" t="s">
        <v>7</v>
      </c>
      <c r="H3" s="40" t="s">
        <v>40</v>
      </c>
    </row>
    <row r="4" customFormat="false" ht="15" hidden="false" customHeight="false" outlineLevel="0" collapsed="false">
      <c r="A4" s="0" t="s">
        <v>10</v>
      </c>
      <c r="B4" s="0" t="n">
        <v>66</v>
      </c>
      <c r="C4" s="0" t="n">
        <v>90</v>
      </c>
      <c r="D4" s="0" t="n">
        <v>82</v>
      </c>
      <c r="E4" s="0" t="n">
        <v>70</v>
      </c>
      <c r="F4" s="0" t="n">
        <v>94</v>
      </c>
      <c r="H4" s="0" t="n">
        <f aca="false">SUM(B4:F4)</f>
        <v>402</v>
      </c>
    </row>
    <row r="5" customFormat="false" ht="15" hidden="false" customHeight="false" outlineLevel="0" collapsed="false">
      <c r="A5" s="0" t="s">
        <v>12</v>
      </c>
      <c r="B5" s="0" t="n">
        <v>83</v>
      </c>
      <c r="C5" s="0" t="n">
        <v>67</v>
      </c>
      <c r="D5" s="0" t="n">
        <v>76</v>
      </c>
      <c r="E5" s="0" t="n">
        <v>84</v>
      </c>
      <c r="F5" s="0" t="n">
        <v>91</v>
      </c>
      <c r="H5" s="0" t="n">
        <f aca="false">SUM(B5:F5)</f>
        <v>401</v>
      </c>
    </row>
    <row r="6" customFormat="false" ht="15" hidden="false" customHeight="false" outlineLevel="0" collapsed="false">
      <c r="A6" s="0" t="s">
        <v>14</v>
      </c>
      <c r="B6" s="0" t="n">
        <v>92</v>
      </c>
      <c r="C6" s="0" t="n">
        <v>61</v>
      </c>
      <c r="D6" s="0" t="n">
        <v>75</v>
      </c>
      <c r="E6" s="0" t="n">
        <v>88</v>
      </c>
      <c r="F6" s="0" t="n">
        <v>83</v>
      </c>
      <c r="H6" s="0" t="n">
        <f aca="false">SUM(B6:F6)</f>
        <v>399</v>
      </c>
    </row>
    <row r="7" customFormat="false" ht="15" hidden="false" customHeight="false" outlineLevel="0" collapsed="false">
      <c r="A7" s="0" t="s">
        <v>16</v>
      </c>
      <c r="B7" s="0" t="n">
        <v>62</v>
      </c>
      <c r="C7" s="0" t="n">
        <v>94</v>
      </c>
      <c r="D7" s="0" t="n">
        <v>83</v>
      </c>
      <c r="E7" s="0" t="n">
        <v>72</v>
      </c>
      <c r="F7" s="0" t="n">
        <v>86</v>
      </c>
      <c r="H7" s="0" t="n">
        <f aca="false">SUM(B7:F7)</f>
        <v>397</v>
      </c>
    </row>
    <row r="8" customFormat="false" ht="15" hidden="false" customHeight="false" outlineLevel="0" collapsed="false">
      <c r="A8" s="0" t="s">
        <v>18</v>
      </c>
      <c r="B8" s="0" t="n">
        <v>88</v>
      </c>
      <c r="C8" s="0" t="n">
        <v>72</v>
      </c>
      <c r="D8" s="0" t="n">
        <v>91</v>
      </c>
      <c r="E8" s="0" t="n">
        <v>65</v>
      </c>
      <c r="F8" s="0" t="n">
        <v>80</v>
      </c>
      <c r="H8" s="0" t="n">
        <f aca="false">SUM(B8:F8)</f>
        <v>396</v>
      </c>
    </row>
    <row r="9" customFormat="false" ht="15" hidden="false" customHeight="false" outlineLevel="0" collapsed="false">
      <c r="A9" s="0" t="s">
        <v>20</v>
      </c>
      <c r="B9" s="0" t="n">
        <v>70</v>
      </c>
      <c r="C9" s="0" t="n">
        <v>88</v>
      </c>
      <c r="D9" s="0" t="n">
        <v>64</v>
      </c>
      <c r="E9" s="0" t="n">
        <v>85</v>
      </c>
      <c r="F9" s="0" t="n">
        <v>89</v>
      </c>
      <c r="H9" s="0" t="n">
        <f aca="false">SUM(B9:F9)</f>
        <v>396</v>
      </c>
    </row>
    <row r="10" customFormat="false" ht="15" hidden="false" customHeight="false" outlineLevel="0" collapsed="false">
      <c r="A10" s="0" t="s">
        <v>22</v>
      </c>
      <c r="B10" s="0" t="n">
        <v>74</v>
      </c>
      <c r="C10" s="0" t="n">
        <v>85</v>
      </c>
      <c r="D10" s="0" t="n">
        <v>68</v>
      </c>
      <c r="E10" s="0" t="n">
        <v>90</v>
      </c>
      <c r="F10" s="0" t="n">
        <v>77</v>
      </c>
      <c r="H10" s="0" t="n">
        <f aca="false">SUM(B10:F10)</f>
        <v>394</v>
      </c>
    </row>
    <row r="11" customFormat="false" ht="15" hidden="false" customHeight="false" outlineLevel="0" collapsed="false">
      <c r="A11" s="0" t="s">
        <v>24</v>
      </c>
      <c r="B11" s="0" t="n">
        <v>79</v>
      </c>
      <c r="C11" s="0" t="n">
        <v>65</v>
      </c>
      <c r="D11" s="0" t="n">
        <v>87</v>
      </c>
      <c r="E11" s="0" t="n">
        <v>93</v>
      </c>
      <c r="F11" s="0" t="n">
        <v>68</v>
      </c>
      <c r="H11" s="0" t="n">
        <f aca="false">SUM(B11:F11)</f>
        <v>392</v>
      </c>
    </row>
    <row r="12" customFormat="false" ht="15" hidden="false" customHeight="false" outlineLevel="0" collapsed="false">
      <c r="A12" s="0" t="s">
        <v>26</v>
      </c>
      <c r="B12" s="0" t="n">
        <v>85</v>
      </c>
      <c r="C12" s="0" t="n">
        <v>78</v>
      </c>
      <c r="D12" s="0" t="n">
        <v>95</v>
      </c>
      <c r="E12" s="0" t="n">
        <v>60</v>
      </c>
      <c r="F12" s="0" t="n">
        <v>71</v>
      </c>
      <c r="H12" s="0" t="n">
        <f aca="false">SUM(B12:F12)</f>
        <v>389</v>
      </c>
    </row>
    <row r="13" customFormat="false" ht="15" hidden="false" customHeight="false" outlineLevel="0" collapsed="false">
      <c r="A13" s="0" t="s">
        <v>28</v>
      </c>
      <c r="B13" s="0" t="n">
        <v>95</v>
      </c>
      <c r="C13" s="0" t="n">
        <v>80</v>
      </c>
      <c r="D13" s="0" t="n">
        <v>70</v>
      </c>
      <c r="E13" s="0" t="n">
        <v>77</v>
      </c>
      <c r="F13" s="0" t="n">
        <v>62</v>
      </c>
      <c r="H13" s="0" t="n">
        <f aca="false">SUM(B13:F13)</f>
        <v>384</v>
      </c>
    </row>
    <row r="34" customFormat="false" ht="15" hidden="false" customHeight="false" outlineLevel="0" collapsed="false">
      <c r="A34" s="40" t="s">
        <v>41</v>
      </c>
      <c r="B34" s="40" t="s">
        <v>10</v>
      </c>
      <c r="C34" s="40" t="s">
        <v>12</v>
      </c>
      <c r="D34" s="40" t="s">
        <v>14</v>
      </c>
      <c r="E34" s="40" t="s">
        <v>16</v>
      </c>
      <c r="F34" s="40" t="s">
        <v>18</v>
      </c>
      <c r="G34" s="40" t="s">
        <v>20</v>
      </c>
      <c r="H34" s="40" t="s">
        <v>22</v>
      </c>
      <c r="I34" s="40" t="s">
        <v>24</v>
      </c>
      <c r="J34" s="40" t="s">
        <v>26</v>
      </c>
      <c r="K34" s="40" t="s">
        <v>28</v>
      </c>
    </row>
    <row r="35" customFormat="false" ht="15" hidden="false" customHeight="false" outlineLevel="0" collapsed="false">
      <c r="A35" s="0" t="s">
        <v>3</v>
      </c>
      <c r="B35" s="0" t="n">
        <v>66</v>
      </c>
      <c r="C35" s="0" t="n">
        <v>83</v>
      </c>
      <c r="D35" s="0" t="n">
        <v>92</v>
      </c>
      <c r="E35" s="0" t="n">
        <v>62</v>
      </c>
      <c r="F35" s="0" t="n">
        <v>88</v>
      </c>
      <c r="G35" s="0" t="n">
        <v>70</v>
      </c>
      <c r="H35" s="0" t="n">
        <v>74</v>
      </c>
      <c r="I35" s="0" t="n">
        <v>79</v>
      </c>
      <c r="J35" s="0" t="n">
        <v>85</v>
      </c>
      <c r="K35" s="0" t="n">
        <v>95</v>
      </c>
    </row>
    <row r="36" customFormat="false" ht="15" hidden="false" customHeight="false" outlineLevel="0" collapsed="false">
      <c r="A36" s="0" t="s">
        <v>4</v>
      </c>
      <c r="B36" s="0" t="n">
        <v>90</v>
      </c>
      <c r="C36" s="0" t="n">
        <v>67</v>
      </c>
      <c r="D36" s="0" t="n">
        <v>61</v>
      </c>
      <c r="E36" s="0" t="n">
        <v>94</v>
      </c>
      <c r="F36" s="0" t="n">
        <v>72</v>
      </c>
      <c r="G36" s="0" t="n">
        <v>88</v>
      </c>
      <c r="H36" s="0" t="n">
        <v>85</v>
      </c>
      <c r="I36" s="0" t="n">
        <v>65</v>
      </c>
      <c r="J36" s="0" t="n">
        <v>78</v>
      </c>
      <c r="K36" s="0" t="n">
        <v>80</v>
      </c>
    </row>
    <row r="37" customFormat="false" ht="15" hidden="false" customHeight="false" outlineLevel="0" collapsed="false">
      <c r="A37" s="0" t="s">
        <v>5</v>
      </c>
      <c r="B37" s="0" t="n">
        <v>82</v>
      </c>
      <c r="C37" s="0" t="n">
        <v>76</v>
      </c>
      <c r="D37" s="0" t="n">
        <v>75</v>
      </c>
      <c r="E37" s="0" t="n">
        <v>83</v>
      </c>
      <c r="F37" s="0" t="n">
        <v>91</v>
      </c>
      <c r="G37" s="0" t="n">
        <v>64</v>
      </c>
      <c r="H37" s="0" t="n">
        <v>68</v>
      </c>
      <c r="I37" s="0" t="n">
        <v>87</v>
      </c>
      <c r="J37" s="0" t="n">
        <v>95</v>
      </c>
      <c r="K37" s="0" t="n">
        <v>70</v>
      </c>
    </row>
    <row r="38" customFormat="false" ht="15" hidden="false" customHeight="false" outlineLevel="0" collapsed="false">
      <c r="A38" s="0" t="s">
        <v>6</v>
      </c>
      <c r="B38" s="0" t="n">
        <v>70</v>
      </c>
      <c r="C38" s="0" t="n">
        <v>84</v>
      </c>
      <c r="D38" s="0" t="n">
        <v>88</v>
      </c>
      <c r="E38" s="0" t="n">
        <v>72</v>
      </c>
      <c r="F38" s="0" t="n">
        <v>65</v>
      </c>
      <c r="G38" s="0" t="n">
        <v>85</v>
      </c>
      <c r="H38" s="0" t="n">
        <v>90</v>
      </c>
      <c r="I38" s="0" t="n">
        <v>93</v>
      </c>
      <c r="J38" s="0" t="n">
        <v>60</v>
      </c>
      <c r="K38" s="0" t="n">
        <v>77</v>
      </c>
    </row>
    <row r="39" customFormat="false" ht="15" hidden="false" customHeight="false" outlineLevel="0" collapsed="false">
      <c r="A39" s="0" t="s">
        <v>7</v>
      </c>
      <c r="B39" s="0" t="n">
        <v>94</v>
      </c>
      <c r="C39" s="0" t="n">
        <v>91</v>
      </c>
      <c r="D39" s="0" t="n">
        <v>83</v>
      </c>
      <c r="E39" s="0" t="n">
        <v>86</v>
      </c>
      <c r="F39" s="0" t="n">
        <v>80</v>
      </c>
      <c r="G39" s="0" t="n">
        <v>89</v>
      </c>
      <c r="H39" s="0" t="n">
        <v>77</v>
      </c>
      <c r="I39" s="0" t="n">
        <v>68</v>
      </c>
      <c r="J39" s="0" t="n">
        <v>71</v>
      </c>
      <c r="K39" s="0" t="n">
        <v>62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5" min="3" style="0" width="10"/>
  </cols>
  <sheetData>
    <row r="1" customFormat="false" ht="33.75" hidden="false" customHeight="true" outlineLevel="0" collapsed="false">
      <c r="A1" s="25" t="s">
        <v>42</v>
      </c>
      <c r="B1" s="25"/>
      <c r="C1" s="25"/>
      <c r="D1" s="25"/>
      <c r="E1" s="25"/>
      <c r="F1" s="25"/>
      <c r="G1" s="25"/>
    </row>
    <row r="3" customFormat="false" ht="25.5" hidden="false" customHeight="true" outlineLevel="0" collapsed="false">
      <c r="A3" s="26" t="s">
        <v>33</v>
      </c>
      <c r="B3" s="26"/>
      <c r="C3" s="26"/>
      <c r="D3" s="26"/>
      <c r="E3" s="26"/>
    </row>
    <row r="4" customFormat="false" ht="21.75" hidden="false" customHeight="true" outlineLevel="0" collapsed="false">
      <c r="A4" s="41" t="s">
        <v>43</v>
      </c>
      <c r="B4" s="42" t="s">
        <v>28</v>
      </c>
      <c r="C4" s="41" t="n">
        <v>95</v>
      </c>
      <c r="D4" s="43"/>
      <c r="E4" s="43"/>
    </row>
    <row r="5" customFormat="false" ht="21.75" hidden="false" customHeight="true" outlineLevel="0" collapsed="false">
      <c r="A5" s="44" t="s">
        <v>44</v>
      </c>
      <c r="B5" s="45" t="s">
        <v>14</v>
      </c>
      <c r="C5" s="44" t="n">
        <v>92</v>
      </c>
      <c r="D5" s="46"/>
      <c r="E5" s="46"/>
    </row>
    <row r="6" customFormat="false" ht="21.75" hidden="false" customHeight="true" outlineLevel="0" collapsed="false">
      <c r="A6" s="47" t="s">
        <v>45</v>
      </c>
      <c r="B6" s="48" t="s">
        <v>18</v>
      </c>
      <c r="C6" s="47" t="n">
        <v>88</v>
      </c>
      <c r="D6" s="49"/>
      <c r="E6" s="49"/>
    </row>
    <row r="7" customFormat="false" ht="6" hidden="false" customHeight="true" outlineLevel="0" collapsed="false"/>
    <row r="9" customFormat="false" ht="25.5" hidden="false" customHeight="true" outlineLevel="0" collapsed="false">
      <c r="A9" s="27" t="s">
        <v>34</v>
      </c>
      <c r="B9" s="27"/>
      <c r="C9" s="27"/>
      <c r="D9" s="27"/>
      <c r="E9" s="27"/>
    </row>
    <row r="10" customFormat="false" ht="21.75" hidden="false" customHeight="true" outlineLevel="0" collapsed="false">
      <c r="A10" s="41" t="s">
        <v>43</v>
      </c>
      <c r="B10" s="42" t="s">
        <v>16</v>
      </c>
      <c r="C10" s="41" t="n">
        <v>94</v>
      </c>
      <c r="D10" s="43"/>
      <c r="E10" s="43"/>
    </row>
    <row r="11" customFormat="false" ht="21.75" hidden="false" customHeight="true" outlineLevel="0" collapsed="false">
      <c r="A11" s="44" t="s">
        <v>44</v>
      </c>
      <c r="B11" s="45" t="s">
        <v>10</v>
      </c>
      <c r="C11" s="44" t="n">
        <v>90</v>
      </c>
      <c r="D11" s="46"/>
      <c r="E11" s="46"/>
    </row>
    <row r="12" customFormat="false" ht="21.75" hidden="false" customHeight="true" outlineLevel="0" collapsed="false">
      <c r="A12" s="47" t="s">
        <v>45</v>
      </c>
      <c r="B12" s="48" t="s">
        <v>20</v>
      </c>
      <c r="C12" s="47" t="n">
        <v>88</v>
      </c>
      <c r="D12" s="49"/>
      <c r="E12" s="49"/>
    </row>
    <row r="13" customFormat="false" ht="6" hidden="false" customHeight="true" outlineLevel="0" collapsed="false"/>
    <row r="15" customFormat="false" ht="25.5" hidden="false" customHeight="true" outlineLevel="0" collapsed="false">
      <c r="A15" s="28" t="s">
        <v>35</v>
      </c>
      <c r="B15" s="28"/>
      <c r="C15" s="28"/>
      <c r="D15" s="28"/>
      <c r="E15" s="28"/>
    </row>
    <row r="16" customFormat="false" ht="21.75" hidden="false" customHeight="true" outlineLevel="0" collapsed="false">
      <c r="A16" s="41" t="s">
        <v>43</v>
      </c>
      <c r="B16" s="42" t="s">
        <v>26</v>
      </c>
      <c r="C16" s="41" t="n">
        <v>95</v>
      </c>
      <c r="D16" s="43"/>
      <c r="E16" s="43"/>
    </row>
    <row r="17" customFormat="false" ht="21.75" hidden="false" customHeight="true" outlineLevel="0" collapsed="false">
      <c r="A17" s="44" t="s">
        <v>44</v>
      </c>
      <c r="B17" s="45" t="s">
        <v>18</v>
      </c>
      <c r="C17" s="44" t="n">
        <v>91</v>
      </c>
      <c r="D17" s="46"/>
      <c r="E17" s="46"/>
    </row>
    <row r="18" customFormat="false" ht="21.75" hidden="false" customHeight="true" outlineLevel="0" collapsed="false">
      <c r="A18" s="47" t="s">
        <v>45</v>
      </c>
      <c r="B18" s="48" t="s">
        <v>24</v>
      </c>
      <c r="C18" s="47" t="n">
        <v>87</v>
      </c>
      <c r="D18" s="49"/>
      <c r="E18" s="49"/>
    </row>
    <row r="19" customFormat="false" ht="6" hidden="false" customHeight="true" outlineLevel="0" collapsed="false"/>
    <row r="21" customFormat="false" ht="25.5" hidden="false" customHeight="true" outlineLevel="0" collapsed="false">
      <c r="A21" s="29" t="s">
        <v>36</v>
      </c>
      <c r="B21" s="29"/>
      <c r="C21" s="29"/>
      <c r="D21" s="29"/>
      <c r="E21" s="29"/>
    </row>
    <row r="22" customFormat="false" ht="21.75" hidden="false" customHeight="true" outlineLevel="0" collapsed="false">
      <c r="A22" s="41" t="s">
        <v>43</v>
      </c>
      <c r="B22" s="42" t="s">
        <v>24</v>
      </c>
      <c r="C22" s="41" t="n">
        <v>93</v>
      </c>
      <c r="D22" s="43"/>
      <c r="E22" s="43"/>
    </row>
    <row r="23" customFormat="false" ht="21.75" hidden="false" customHeight="true" outlineLevel="0" collapsed="false">
      <c r="A23" s="44" t="s">
        <v>44</v>
      </c>
      <c r="B23" s="45" t="s">
        <v>22</v>
      </c>
      <c r="C23" s="44" t="n">
        <v>90</v>
      </c>
      <c r="D23" s="46"/>
      <c r="E23" s="46"/>
    </row>
    <row r="24" customFormat="false" ht="21.75" hidden="false" customHeight="true" outlineLevel="0" collapsed="false">
      <c r="A24" s="47" t="s">
        <v>45</v>
      </c>
      <c r="B24" s="48" t="s">
        <v>14</v>
      </c>
      <c r="C24" s="47" t="n">
        <v>88</v>
      </c>
      <c r="D24" s="49"/>
      <c r="E24" s="49"/>
    </row>
    <row r="25" customFormat="false" ht="6" hidden="false" customHeight="true" outlineLevel="0" collapsed="false"/>
    <row r="27" customFormat="false" ht="25.5" hidden="false" customHeight="true" outlineLevel="0" collapsed="false">
      <c r="A27" s="30" t="s">
        <v>37</v>
      </c>
      <c r="B27" s="30"/>
      <c r="C27" s="30"/>
      <c r="D27" s="30"/>
      <c r="E27" s="30"/>
    </row>
    <row r="28" customFormat="false" ht="21.75" hidden="false" customHeight="true" outlineLevel="0" collapsed="false">
      <c r="A28" s="41" t="s">
        <v>43</v>
      </c>
      <c r="B28" s="42" t="s">
        <v>10</v>
      </c>
      <c r="C28" s="41" t="n">
        <v>94</v>
      </c>
      <c r="D28" s="43"/>
      <c r="E28" s="43"/>
    </row>
    <row r="29" customFormat="false" ht="21.75" hidden="false" customHeight="true" outlineLevel="0" collapsed="false">
      <c r="A29" s="44" t="s">
        <v>44</v>
      </c>
      <c r="B29" s="45" t="s">
        <v>12</v>
      </c>
      <c r="C29" s="44" t="n">
        <v>91</v>
      </c>
      <c r="D29" s="46"/>
      <c r="E29" s="46"/>
    </row>
    <row r="30" customFormat="false" ht="21.75" hidden="false" customHeight="true" outlineLevel="0" collapsed="false">
      <c r="A30" s="47" t="s">
        <v>45</v>
      </c>
      <c r="B30" s="48" t="s">
        <v>20</v>
      </c>
      <c r="C30" s="47" t="n">
        <v>89</v>
      </c>
      <c r="D30" s="49"/>
      <c r="E30" s="49"/>
    </row>
    <row r="31" customFormat="false" ht="6" hidden="false" customHeight="true" outlineLevel="0" collapsed="false"/>
  </sheetData>
  <mergeCells count="6">
    <mergeCell ref="A1:G1"/>
    <mergeCell ref="A3:E3"/>
    <mergeCell ref="A9:E9"/>
    <mergeCell ref="A15:E15"/>
    <mergeCell ref="A21:E21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2026-05-04T05:28:04Z</dcterms:created>
  <dc:creator>openpyxl</dc:creator>
  <dc:description/>
  <dc:language>en-US</dc:language>
  <cp:lastModifiedBy/>
  <dcterms:modified xsi:type="dcterms:W3CDTF">2026-05-04T05:28:11Z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